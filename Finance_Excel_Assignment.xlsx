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MBIKA\Downloads\"/>
    </mc:Choice>
  </mc:AlternateContent>
  <xr:revisionPtr revIDLastSave="0" documentId="13_ncr:1_{B4A531C1-6246-4501-94BE-98DC84274489}" xr6:coauthVersionLast="47" xr6:coauthVersionMax="47" xr10:uidLastSave="{00000000-0000-0000-0000-000000000000}"/>
  <bookViews>
    <workbookView xWindow="-108" yWindow="-108" windowWidth="23256" windowHeight="12456" xr2:uid="{258FAAAA-46E9-4A19-8D89-A765839A89EB}"/>
  </bookViews>
  <sheets>
    <sheet name="Finance_Analysis" sheetId="1" r:id="rId1"/>
    <sheet name="Tasks &amp; Answers" sheetId="2" r:id="rId2"/>
    <sheet name="Pivot" sheetId="4" r:id="rId3"/>
  </sheets>
  <calcPr calcId="191029"/>
  <pivotCaches>
    <pivotCache cacheId="14"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4" i="1" l="1"/>
  <c r="J44" i="1"/>
  <c r="I44" i="1"/>
  <c r="H44" i="1"/>
  <c r="G44" i="1"/>
  <c r="F44" i="1"/>
  <c r="E44"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2" i="1"/>
  <c r="B50" i="2"/>
  <c r="B48" i="2"/>
  <c r="B46" i="2"/>
  <c r="B44" i="2"/>
  <c r="B43" i="2"/>
  <c r="B40" i="2"/>
  <c r="B38"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B13" i="2" l="1"/>
</calcChain>
</file>

<file path=xl/sharedStrings.xml><?xml version="1.0" encoding="utf-8"?>
<sst xmlns="http://schemas.openxmlformats.org/spreadsheetml/2006/main" count="742" uniqueCount="129">
  <si>
    <t>Investment_Avenues</t>
  </si>
  <si>
    <t>Mutual_Funds</t>
  </si>
  <si>
    <t>Equity_Market</t>
  </si>
  <si>
    <t>Debentures</t>
  </si>
  <si>
    <t>Government_Bonds</t>
  </si>
  <si>
    <t>PPF</t>
  </si>
  <si>
    <t>Gold</t>
  </si>
  <si>
    <t>Factor</t>
  </si>
  <si>
    <t>Objective</t>
  </si>
  <si>
    <t>Purpose</t>
  </si>
  <si>
    <t>Duration</t>
  </si>
  <si>
    <t>Invest_Monitor</t>
  </si>
  <si>
    <t>Expect</t>
  </si>
  <si>
    <t>Avenue</t>
  </si>
  <si>
    <t>What are your savings objectives?</t>
  </si>
  <si>
    <t>Reason_Equity</t>
  </si>
  <si>
    <t>Reason_Mutual</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</si>
  <si>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</si>
  <si>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</si>
  <si>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</si>
  <si>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</si>
  <si>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</si>
  <si>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</si>
  <si>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</si>
  <si>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</si>
  <si>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</si>
  <si>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</si>
  <si>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</si>
  <si>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</si>
  <si>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</si>
  <si>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</si>
  <si>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</si>
  <si>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</si>
  <si>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</si>
  <si>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</si>
  <si>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</si>
  <si>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</si>
  <si>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</si>
  <si>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</si>
  <si>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</si>
  <si>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</si>
  <si>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</si>
  <si>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</si>
  <si>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</si>
  <si>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</si>
  <si>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</si>
  <si>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</si>
  <si>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</si>
  <si>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</si>
  <si>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</si>
  <si>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</si>
  <si>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</si>
  <si>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</si>
  <si>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</si>
  <si>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</si>
  <si>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</si>
  <si>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</si>
  <si>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</si>
  <si>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</si>
  <si>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</si>
  <si>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</si>
  <si>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</si>
  <si>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</si>
  <si>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1. Open the CSV file in Excel.</t>
  </si>
  <si>
    <t>4. Freeze the header row.</t>
  </si>
  <si>
    <t>Blank cells</t>
  </si>
  <si>
    <t>Inconsistent text cases (Male/male, Yes/yes)</t>
  </si>
  <si>
    <t>Standardize:</t>
  </si>
  <si>
    <t>Rename incorrect column:</t>
  </si>
  <si>
    <t>Check for</t>
  </si>
  <si>
    <t>Task 1: Loading Data</t>
  </si>
  <si>
    <t>Task 2 : Data Cleaning</t>
  </si>
  <si>
    <t>Task 3 : Data Validations</t>
  </si>
  <si>
    <t>1. Highlight: Equity_Market values ≥ 5 in Red</t>
  </si>
  <si>
    <t>Task 4 : Conditional Formatting</t>
  </si>
  <si>
    <t>Task 5: Summary</t>
  </si>
  <si>
    <t>Create a summary section using Excel formulas</t>
  </si>
  <si>
    <t>Count of investors by gender</t>
  </si>
  <si>
    <t>Percentage of people investing in Mutual Funds</t>
  </si>
  <si>
    <t>Analytical Questions</t>
  </si>
  <si>
    <t>3. Which investment avenue has the highest average score?</t>
  </si>
  <si>
    <t>5. Which savings objective dominates among young investors?</t>
  </si>
  <si>
    <t xml:space="preserve"> Answer Using Data</t>
  </si>
  <si>
    <t>Answers</t>
  </si>
  <si>
    <t xml:space="preserve"> 1.Average age of investors</t>
  </si>
  <si>
    <t>2. Average Equity_Market score</t>
  </si>
  <si>
    <t>Resn_Bonds ➜ Reason_Bonds</t>
  </si>
  <si>
    <t>2. Apply Color Scale to: Mutual_Funds</t>
  </si>
  <si>
    <t>Minimum Mutual_Funds</t>
  </si>
  <si>
    <t>Maximum Fixed_Deposits</t>
  </si>
  <si>
    <t>1. Which age group prefers Wealth Creation?</t>
  </si>
  <si>
    <t>Age</t>
  </si>
  <si>
    <r>
      <t xml:space="preserve">2. Convert the dataset into an </t>
    </r>
    <r>
      <rPr>
        <b/>
        <sz val="11"/>
        <color theme="1"/>
        <rFont val="Calibri"/>
        <family val="2"/>
      </rPr>
      <t>Excel Table</t>
    </r>
    <r>
      <rPr>
        <sz val="11"/>
        <color theme="1"/>
        <rFont val="Calibri"/>
        <family val="2"/>
      </rPr>
      <t>.</t>
    </r>
  </si>
  <si>
    <r>
      <t xml:space="preserve">3. Rename the worksheet to </t>
    </r>
    <r>
      <rPr>
        <b/>
        <sz val="11"/>
        <color theme="1"/>
        <rFont val="Calibri"/>
        <family val="2"/>
      </rPr>
      <t>Finance_Analysis</t>
    </r>
    <r>
      <rPr>
        <sz val="11"/>
        <color theme="1"/>
        <rFont val="Calibri"/>
        <family val="2"/>
      </rPr>
      <t>.</t>
    </r>
  </si>
  <si>
    <r>
      <t xml:space="preserve">gender column to </t>
    </r>
    <r>
      <rPr>
        <b/>
        <sz val="11"/>
        <color theme="1"/>
        <rFont val="Calibri"/>
        <family val="2"/>
      </rPr>
      <t>Proper Case</t>
    </r>
  </si>
  <si>
    <r>
      <t xml:space="preserve">Investment_Avenues to </t>
    </r>
    <r>
      <rPr>
        <b/>
        <sz val="11"/>
        <color theme="1"/>
        <rFont val="Calibri"/>
        <family val="2"/>
      </rPr>
      <t>Yes / No</t>
    </r>
  </si>
  <si>
    <r>
      <t xml:space="preserve">Investment_Avenues should allow only </t>
    </r>
    <r>
      <rPr>
        <b/>
        <sz val="11"/>
        <color theme="1"/>
        <rFont val="Calibri"/>
        <family val="2"/>
      </rPr>
      <t>Yes / No</t>
    </r>
  </si>
  <si>
    <t>(Use: AVERAGE, COUNTIF, MAX, MIN, SUM, COUNTA)</t>
  </si>
  <si>
    <r>
      <t xml:space="preserve">2. Do females prefer </t>
    </r>
    <r>
      <rPr>
        <b/>
        <sz val="11"/>
        <color theme="1"/>
        <rFont val="Calibri"/>
        <family val="2"/>
      </rPr>
      <t>Fixed Deposits</t>
    </r>
    <r>
      <rPr>
        <sz val="11"/>
        <color theme="1"/>
        <rFont val="Calibri"/>
        <family val="2"/>
      </rPr>
      <t xml:space="preserve"> more than males?</t>
    </r>
  </si>
  <si>
    <r>
      <t xml:space="preserve">4. What is the most common </t>
    </r>
    <r>
      <rPr>
        <b/>
        <sz val="11"/>
        <color theme="1"/>
        <rFont val="Calibri"/>
        <family val="2"/>
      </rPr>
      <t>source of investment information</t>
    </r>
    <r>
      <rPr>
        <sz val="11"/>
        <color theme="1"/>
        <rFont val="Calibri"/>
        <family val="2"/>
      </rPr>
      <t>?</t>
    </r>
  </si>
  <si>
    <t>Done</t>
  </si>
  <si>
    <t>&gt;&gt;&gt;Used countblank function</t>
  </si>
  <si>
    <t>Row Labels</t>
  </si>
  <si>
    <t>Grand Total</t>
  </si>
  <si>
    <t>Yes, in case of Investment_Avenues column</t>
  </si>
  <si>
    <t>&gt;&gt;&gt;Applied filter on the column to get know cases</t>
  </si>
  <si>
    <t>Gender (Proper case)</t>
  </si>
  <si>
    <t>&gt;&gt;&gt;Inserted a column and applied proper function and pasted data as values to the original column</t>
  </si>
  <si>
    <t>&gt;&gt;&gt;Used find and replace, found 3 as "Y", replaced as "Yes"</t>
  </si>
  <si>
    <t>Reason_Bonds</t>
  </si>
  <si>
    <t>&gt;&gt;&gt;Data Validation was applied to the Investment_Avenues column using a List constraint to restrict inputs strictly to “Yes” or “No”, ensuring data consistency and preventing invalid entries.</t>
  </si>
  <si>
    <t xml:space="preserve">    Highlight: Fixed_Deposits values ≥ 5 in Green</t>
  </si>
  <si>
    <t>&gt;&gt;&gt;Conditional Formatting was applied using format only cells that contain option</t>
  </si>
  <si>
    <t>Fixed_
Deposits</t>
  </si>
  <si>
    <t>Stock_
Marktet</t>
  </si>
  <si>
    <t>Done; 5 such values</t>
  </si>
  <si>
    <t>Done; 13 such values</t>
  </si>
  <si>
    <t>Factor_Score</t>
  </si>
  <si>
    <t>3. Use Icon Sets for Factor Column</t>
  </si>
  <si>
    <t>&gt;&gt;&gt;Since the Factor column contained categorical text values (Return, Risk, Locking Period), they were mapped to numeric scores using an IF function. Icon sets were then applied to visually represent factor priority</t>
  </si>
  <si>
    <t>Age_group</t>
  </si>
  <si>
    <t>21-25</t>
  </si>
  <si>
    <t>26-30</t>
  </si>
  <si>
    <t>31-35</t>
  </si>
  <si>
    <t>Count of Purpose</t>
  </si>
  <si>
    <t>26-30 age group</t>
  </si>
  <si>
    <t>&gt;&gt;&gt;Used pivot table, ss attached</t>
  </si>
  <si>
    <t>No, males prefer more FDs</t>
  </si>
  <si>
    <t>&gt;&gt;&gt;Taken =&lt;30 as young investors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</si>
</sst>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69" formatCode="0.0%"/>
  </numFmts>
  <fonts count="13" x14ac:knownFonts="1">
    <font>
      <sz val="11"/>
      <color theme="1"/>
      <name val="Aptos Narrow"/>
      <family val="2"/>
      <scheme val="minor"/>
    </font>
    <font>
      <b/>
      <sz val="12"/>
      <color theme="1"/>
      <name val="Aptos Narrow"/>
      <family val="2"/>
      <scheme val="minor"/>
    </font>
    <font>
      <sz val="12"/>
      <color theme="1"/>
      <name val="Aptos Narrow"/>
      <family val="2"/>
      <scheme val="minor"/>
    </font>
    <font>
      <sz val="11"/>
      <color theme="1"/>
      <name val="Calibri"/>
      <family val="2"/>
    </font>
    <font>
      <b/>
      <sz val="11"/>
      <color theme="1"/>
      <name val="Calibri"/>
      <family val="2"/>
    </font>
    <font>
      <b/>
      <sz val="11"/>
      <color theme="0"/>
      <name val="Calibri"/>
      <family val="2"/>
    </font>
    <font>
      <sz val="11"/>
      <color theme="1"/>
      <name val="Aptos Narrow"/>
      <family val="2"/>
      <scheme val="minor"/>
    </font>
    <font>
      <b/>
      <sz val="11"/>
      <color theme="1"/>
      <name val="Aptos Narrow"/>
      <family val="2"/>
      <scheme val="minor"/>
    </font>
    <font>
      <sz val="10"/>
      <color theme="1"/>
      <name val="Calibri"/>
      <family val="2"/>
    </font>
    <font>
      <i/>
      <sz val="10"/>
      <color theme="1"/>
      <name val="Calibri"/>
      <family val="2"/>
    </font>
    <font>
      <b/>
      <sz val="10"/>
      <color theme="0"/>
      <name val="Calibri"/>
      <family val="2"/>
    </font>
    <font>
      <sz val="10"/>
      <color theme="0"/>
      <name val="Calibri"/>
      <family val="2"/>
    </font>
    <font>
      <b/>
      <sz val="10"/>
      <color theme="1"/>
      <name val="Calibri"/>
      <family val="2"/>
    </font>
  </fonts>
  <fills count="4">
    <fill>
      <patternFill patternType="none"/>
    </fill>
    <fill>
      <patternFill patternType="gray125"/>
    </fill>
    <fill>
      <patternFill patternType="solid">
        <fgColor theme="3" tint="0.499984740745262"/>
        <bgColor indexed="64"/>
      </patternFill>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25">
    <xf numFmtId="0" fontId="0" fillId="0" borderId="0" xfId="0"/>
    <xf numFmtId="0" fontId="0" fillId="0" borderId="0" xfId="0" applyAlignment="1">
      <alignment horizontal="left"/>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xf numFmtId="0" fontId="5" fillId="2" borderId="1" xfId="0" applyFont="1" applyFill="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8" fillId="0" borderId="0" xfId="0" applyFont="1"/>
    <xf numFmtId="0" fontId="9" fillId="0" borderId="0" xfId="0" applyFont="1"/>
    <xf numFmtId="0" fontId="0" fillId="0" borderId="0" xfId="0" pivotButton="1"/>
    <xf numFmtId="0" fontId="0" fillId="0" borderId="0" xfId="0" applyNumberFormat="1"/>
    <xf numFmtId="0" fontId="10" fillId="3" borderId="1" xfId="0" applyFont="1" applyFill="1" applyBorder="1" applyAlignment="1">
      <alignment horizontal="left" vertical="center"/>
    </xf>
    <xf numFmtId="0" fontId="8" fillId="0" borderId="1" xfId="0" applyFont="1" applyBorder="1"/>
    <xf numFmtId="0" fontId="8" fillId="0" borderId="1" xfId="0" applyFont="1" applyBorder="1" applyAlignment="1">
      <alignment horizontal="left"/>
    </xf>
    <xf numFmtId="0" fontId="11" fillId="3" borderId="1" xfId="0" applyFont="1" applyFill="1" applyBorder="1" applyAlignment="1">
      <alignment horizontal="left" vertical="center"/>
    </xf>
    <xf numFmtId="0" fontId="8" fillId="0" borderId="0" xfId="0" applyFont="1" applyAlignment="1">
      <alignment horizontal="left"/>
    </xf>
    <xf numFmtId="1" fontId="0" fillId="0" borderId="0" xfId="0" applyNumberFormat="1" applyAlignment="1">
      <alignment horizontal="left"/>
    </xf>
    <xf numFmtId="0" fontId="9" fillId="0" borderId="0" xfId="0" applyFont="1" applyAlignment="1">
      <alignment vertical="center" wrapText="1"/>
    </xf>
    <xf numFmtId="0" fontId="8" fillId="0" borderId="1" xfId="0" applyFont="1" applyBorder="1" applyAlignment="1">
      <alignment horizontal="left" vertical="center"/>
    </xf>
    <xf numFmtId="0" fontId="3" fillId="0" borderId="1" xfId="0" applyFont="1" applyBorder="1" applyAlignment="1">
      <alignment horizontal="left" vertical="center" indent="1"/>
    </xf>
    <xf numFmtId="169" fontId="8" fillId="0" borderId="1" xfId="1" applyNumberFormat="1" applyFont="1" applyBorder="1" applyAlignment="1">
      <alignment horizontal="left"/>
    </xf>
    <xf numFmtId="1" fontId="8" fillId="0" borderId="1" xfId="0" applyNumberFormat="1" applyFont="1" applyBorder="1" applyAlignment="1">
      <alignment horizontal="left"/>
    </xf>
    <xf numFmtId="0" fontId="12" fillId="0" borderId="1" xfId="0" applyFont="1" applyBorder="1" applyAlignment="1">
      <alignment horizontal="left"/>
    </xf>
    <xf numFmtId="168" fontId="7" fillId="0" borderId="0" xfId="0" applyNumberFormat="1" applyFont="1" applyAlignment="1">
      <alignment horizontal="left"/>
    </xf>
  </cellXfs>
  <cellStyles count="2">
    <cellStyle name="Normal" xfId="0" builtinId="0"/>
    <cellStyle name="Percent" xfId="1" builtinId="5"/>
  </cellStyles>
  <dxfs count="56">
    <dxf>
      <fill>
        <patternFill>
          <bgColor theme="9" tint="0.39994506668294322"/>
        </patternFill>
      </fill>
    </dxf>
    <dxf>
      <fill>
        <patternFill>
          <bgColor rgb="FFFF0000"/>
        </patternFill>
      </fill>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1636644</xdr:colOff>
      <xdr:row>52</xdr:row>
      <xdr:rowOff>145774</xdr:rowOff>
    </xdr:from>
    <xdr:to>
      <xdr:col>2</xdr:col>
      <xdr:colOff>3345358</xdr:colOff>
      <xdr:row>57</xdr:row>
      <xdr:rowOff>99390</xdr:rowOff>
    </xdr:to>
    <xdr:pic>
      <xdr:nvPicPr>
        <xdr:cNvPr id="3" name="Picture 2">
          <a:extLst>
            <a:ext uri="{FF2B5EF4-FFF2-40B4-BE49-F238E27FC236}">
              <a16:creationId xmlns:a16="http://schemas.microsoft.com/office/drawing/2014/main" id="{14BB7B81-036E-9B46-1579-7079349D82E8}"/>
            </a:ext>
          </a:extLst>
        </xdr:cNvPr>
        <xdr:cNvPicPr>
          <a:picLocks noChangeAspect="1"/>
        </xdr:cNvPicPr>
      </xdr:nvPicPr>
      <xdr:blipFill>
        <a:blip xmlns:r="http://schemas.openxmlformats.org/officeDocument/2006/relationships" r:embed="rId1"/>
        <a:stretch>
          <a:fillRect/>
        </a:stretch>
      </xdr:blipFill>
      <xdr:spPr>
        <a:xfrm>
          <a:off x="7911548" y="8653670"/>
          <a:ext cx="1708714" cy="715616"/>
        </a:xfrm>
        <a:prstGeom prst="rect">
          <a:avLst/>
        </a:prstGeom>
      </xdr:spPr>
    </xdr:pic>
    <xdr:clientData/>
  </xdr:twoCellAnchor>
  <xdr:twoCellAnchor editAs="oneCell">
    <xdr:from>
      <xdr:col>2</xdr:col>
      <xdr:colOff>834887</xdr:colOff>
      <xdr:row>58</xdr:row>
      <xdr:rowOff>145775</xdr:rowOff>
    </xdr:from>
    <xdr:to>
      <xdr:col>2</xdr:col>
      <xdr:colOff>2628348</xdr:colOff>
      <xdr:row>64</xdr:row>
      <xdr:rowOff>1</xdr:rowOff>
    </xdr:to>
    <xdr:pic>
      <xdr:nvPicPr>
        <xdr:cNvPr id="4" name="Picture 3">
          <a:extLst>
            <a:ext uri="{FF2B5EF4-FFF2-40B4-BE49-F238E27FC236}">
              <a16:creationId xmlns:a16="http://schemas.microsoft.com/office/drawing/2014/main" id="{F19FE50A-672F-718F-E1CD-0D01B0920561}"/>
            </a:ext>
          </a:extLst>
        </xdr:cNvPr>
        <xdr:cNvPicPr>
          <a:picLocks noChangeAspect="1"/>
        </xdr:cNvPicPr>
      </xdr:nvPicPr>
      <xdr:blipFill>
        <a:blip xmlns:r="http://schemas.openxmlformats.org/officeDocument/2006/relationships" r:embed="rId2"/>
        <a:stretch>
          <a:fillRect/>
        </a:stretch>
      </xdr:blipFill>
      <xdr:spPr>
        <a:xfrm>
          <a:off x="7109791" y="9568071"/>
          <a:ext cx="1793461" cy="768626"/>
        </a:xfrm>
        <a:prstGeom prst="rect">
          <a:avLst/>
        </a:prstGeom>
      </xdr:spPr>
    </xdr:pic>
    <xdr:clientData/>
  </xdr:twoCellAnchor>
  <xdr:twoCellAnchor editAs="oneCell">
    <xdr:from>
      <xdr:col>2</xdr:col>
      <xdr:colOff>82691</xdr:colOff>
      <xdr:row>66</xdr:row>
      <xdr:rowOff>42998</xdr:rowOff>
    </xdr:from>
    <xdr:to>
      <xdr:col>2</xdr:col>
      <xdr:colOff>2716696</xdr:colOff>
      <xdr:row>72</xdr:row>
      <xdr:rowOff>132304</xdr:rowOff>
    </xdr:to>
    <xdr:pic>
      <xdr:nvPicPr>
        <xdr:cNvPr id="5" name="Picture 4">
          <a:extLst>
            <a:ext uri="{FF2B5EF4-FFF2-40B4-BE49-F238E27FC236}">
              <a16:creationId xmlns:a16="http://schemas.microsoft.com/office/drawing/2014/main" id="{B0C43D29-779E-7902-D529-CFDF2578FBDA}"/>
            </a:ext>
          </a:extLst>
        </xdr:cNvPr>
        <xdr:cNvPicPr>
          <a:picLocks noChangeAspect="1"/>
        </xdr:cNvPicPr>
      </xdr:nvPicPr>
      <xdr:blipFill>
        <a:blip xmlns:r="http://schemas.openxmlformats.org/officeDocument/2006/relationships" r:embed="rId3"/>
        <a:stretch>
          <a:fillRect/>
        </a:stretch>
      </xdr:blipFill>
      <xdr:spPr>
        <a:xfrm>
          <a:off x="6357595" y="10684494"/>
          <a:ext cx="2634005" cy="1003706"/>
        </a:xfrm>
        <a:prstGeom prst="rect">
          <a:avLst/>
        </a:prstGeom>
      </xdr:spPr>
    </xdr:pic>
    <xdr:clientData/>
  </xdr:twoCellAnchor>
  <xdr:twoCellAnchor editAs="oneCell">
    <xdr:from>
      <xdr:col>2</xdr:col>
      <xdr:colOff>125896</xdr:colOff>
      <xdr:row>52</xdr:row>
      <xdr:rowOff>5514</xdr:rowOff>
    </xdr:from>
    <xdr:to>
      <xdr:col>2</xdr:col>
      <xdr:colOff>1590262</xdr:colOff>
      <xdr:row>58</xdr:row>
      <xdr:rowOff>45171</xdr:rowOff>
    </xdr:to>
    <xdr:pic>
      <xdr:nvPicPr>
        <xdr:cNvPr id="7" name="Picture 6">
          <a:extLst>
            <a:ext uri="{FF2B5EF4-FFF2-40B4-BE49-F238E27FC236}">
              <a16:creationId xmlns:a16="http://schemas.microsoft.com/office/drawing/2014/main" id="{7BAB4FB8-18E0-BFAE-5E5A-E472AD8887E2}"/>
            </a:ext>
          </a:extLst>
        </xdr:cNvPr>
        <xdr:cNvPicPr>
          <a:picLocks noChangeAspect="1"/>
        </xdr:cNvPicPr>
      </xdr:nvPicPr>
      <xdr:blipFill>
        <a:blip xmlns:r="http://schemas.openxmlformats.org/officeDocument/2006/relationships" r:embed="rId4"/>
        <a:stretch>
          <a:fillRect/>
        </a:stretch>
      </xdr:blipFill>
      <xdr:spPr>
        <a:xfrm>
          <a:off x="6400800" y="8513410"/>
          <a:ext cx="1464366" cy="9540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BIKA" refreshedDate="46084.773868865741" createdVersion="8" refreshedVersion="8" minRefreshableVersion="3" recordCount="40" xr:uid="{9CDEA764-48AD-4BF7-9874-76A5905041E3}">
  <cacheSource type="worksheet">
    <worksheetSource name="Table1"/>
  </cacheSource>
  <cacheFields count="26">
    <cacheField name="Gender (Proper case)" numFmtId="0">
      <sharedItems count="2">
        <s v="Female"/>
        <s v="Male"/>
      </sharedItems>
    </cacheField>
    <cacheField name="Age" numFmtId="1">
      <sharedItems containsSemiMixedTypes="0" containsString="0" containsNumber="1" containsInteger="1" minValue="21" maxValue="35"/>
    </cacheField>
    <cacheField name="Age_group" numFmtId="1">
      <sharedItems count="3">
        <s v="31-35"/>
        <s v="21-25"/>
        <s v="26-30"/>
      </sharedItems>
    </cacheField>
    <cacheField name="Investment_Avenues" numFmtId="0">
      <sharedItems/>
    </cacheField>
    <cacheField name="Mutual_Funds" numFmtId="1">
      <sharedItems containsSemiMixedTypes="0" containsString="0" containsNumber="1" containsInteger="1" minValue="1" maxValue="7"/>
    </cacheField>
    <cacheField name="Equity_Market" numFmtId="1">
      <sharedItems containsSemiMixedTypes="0" containsString="0" containsNumber="1" containsInteger="1" minValue="1" maxValue="6"/>
    </cacheField>
    <cacheField name="Debentures" numFmtId="1">
      <sharedItems containsSemiMixedTypes="0" containsString="0" containsNumber="1" containsInteger="1" minValue="1" maxValue="7"/>
    </cacheField>
    <cacheField name="Government_Bonds" numFmtId="1">
      <sharedItems containsSemiMixedTypes="0" containsString="0" containsNumber="1" containsInteger="1" minValue="1" maxValue="7"/>
    </cacheField>
    <cacheField name="Fixed__x000a_Deposits" numFmtId="1">
      <sharedItems containsSemiMixedTypes="0" containsString="0" containsNumber="1" containsInteger="1" minValue="1" maxValue="7" count="7">
        <n v="7"/>
        <n v="5"/>
        <n v="6"/>
        <n v="4"/>
        <n v="3"/>
        <n v="1"/>
        <n v="2"/>
      </sharedItems>
    </cacheField>
    <cacheField name="PPF" numFmtId="1">
      <sharedItems containsSemiMixedTypes="0" containsString="0" containsNumber="1" containsInteger="1" minValue="1" maxValue="6"/>
    </cacheField>
    <cacheField name="Gold" numFmtId="1">
      <sharedItems containsSemiMixedTypes="0" containsString="0" containsNumber="1" containsInteger="1" minValue="2" maxValue="7"/>
    </cacheField>
    <cacheField name="Stock__x000a_Marktet" numFmtId="0">
      <sharedItems/>
    </cacheField>
    <cacheField name="Factor" numFmtId="0">
      <sharedItems/>
    </cacheField>
    <cacheField name="Factor_Score" numFmtId="0">
      <sharedItems containsSemiMixedTypes="0" containsString="0" containsNumber="1" containsInteger="1" minValue="1" maxValue="3"/>
    </cacheField>
    <cacheField name="Objective" numFmtId="0">
      <sharedItems/>
    </cacheField>
    <cacheField name="Purpose" numFmtId="0">
      <sharedItems count="3">
        <s v="Wealth Creation"/>
        <s v="Savings for Future"/>
        <s v="Returns"/>
      </sharedItems>
    </cacheField>
    <cacheField name="Duration" numFmtId="0">
      <sharedItems/>
    </cacheField>
    <cacheField name="Invest_Monitor" numFmtId="0">
      <sharedItems/>
    </cacheField>
    <cacheField name="Expect" numFmtId="0">
      <sharedItems/>
    </cacheField>
    <cacheField name="Avenue" numFmtId="0">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s v="Yes"/>
    <n v="1"/>
    <n v="2"/>
    <n v="5"/>
    <n v="3"/>
    <x v="0"/>
    <n v="6"/>
    <n v="4"/>
    <s v="Yes"/>
    <s v="Returns"/>
    <n v="3"/>
    <s v="Capital Appreciation"/>
    <x v="0"/>
    <s v="1-3 years"/>
    <s v="Monthly"/>
    <s v="20%-30%"/>
    <s v="Mutual Fund"/>
    <x v="0"/>
    <s v="Capital Appreciation"/>
    <s v="Better Returns"/>
    <s v="Safe Investment"/>
    <s v="Fixed Returns"/>
    <x v="0"/>
  </r>
  <r>
    <x v="0"/>
    <n v="23"/>
    <x v="1"/>
    <s v="Yes"/>
    <n v="4"/>
    <n v="3"/>
    <n v="2"/>
    <n v="1"/>
    <x v="1"/>
    <n v="6"/>
    <n v="7"/>
    <s v="No"/>
    <s v="Locking Period"/>
    <n v="1"/>
    <s v="Capital Appreciation"/>
    <x v="0"/>
    <s v="More than 5 years"/>
    <s v="Weekly"/>
    <s v="20%-30%"/>
    <s v="Mutual Fund"/>
    <x v="1"/>
    <s v="Dividend"/>
    <s v="Better Returns"/>
    <s v="Safe Investment"/>
    <s v="High Interest Rates"/>
    <x v="1"/>
  </r>
  <r>
    <x v="1"/>
    <n v="30"/>
    <x v="2"/>
    <s v="Yes"/>
    <n v="3"/>
    <n v="6"/>
    <n v="4"/>
    <n v="2"/>
    <x v="1"/>
    <n v="1"/>
    <n v="7"/>
    <s v="Yes"/>
    <s v="Returns"/>
    <n v="3"/>
    <s v="Capital Appreciation"/>
    <x v="0"/>
    <s v="3-5 years"/>
    <s v="Daily"/>
    <s v="20%-30%"/>
    <s v="Equity"/>
    <x v="0"/>
    <s v="Capital Appreciation"/>
    <s v="Tax Benefits"/>
    <s v="Assured Returns"/>
    <s v="Fixed Returns"/>
    <x v="2"/>
  </r>
  <r>
    <x v="1"/>
    <n v="22"/>
    <x v="1"/>
    <s v="Yes"/>
    <n v="2"/>
    <n v="1"/>
    <n v="3"/>
    <n v="7"/>
    <x v="2"/>
    <n v="4"/>
    <n v="5"/>
    <s v="Yes"/>
    <s v="Returns"/>
    <n v="3"/>
    <s v="Income"/>
    <x v="0"/>
    <s v="Less than 1 year"/>
    <s v="Daily"/>
    <s v="10%-20%"/>
    <s v="Equity"/>
    <x v="0"/>
    <s v="Dividend"/>
    <s v="Fund Diversification"/>
    <s v="Tax Incentives"/>
    <s v="High Interest Rates"/>
    <x v="3"/>
  </r>
  <r>
    <x v="0"/>
    <n v="24"/>
    <x v="1"/>
    <s v="No"/>
    <n v="2"/>
    <n v="1"/>
    <n v="3"/>
    <n v="6"/>
    <x v="3"/>
    <n v="5"/>
    <n v="7"/>
    <s v="No"/>
    <s v="Returns"/>
    <n v="3"/>
    <s v="Income"/>
    <x v="0"/>
    <s v="Less than 1 year"/>
    <s v="Daily"/>
    <s v="20%-30%"/>
    <s v="Equity"/>
    <x v="0"/>
    <s v="Capital Appreciation"/>
    <s v="Better Returns"/>
    <s v="Safe Investment"/>
    <s v="Risk Free"/>
    <x v="3"/>
  </r>
  <r>
    <x v="0"/>
    <n v="24"/>
    <x v="1"/>
    <s v="No"/>
    <n v="7"/>
    <n v="5"/>
    <n v="4"/>
    <n v="6"/>
    <x v="4"/>
    <n v="1"/>
    <n v="2"/>
    <s v="No"/>
    <s v="Risk"/>
    <n v="2"/>
    <s v="Capital Appreciation"/>
    <x v="0"/>
    <s v="1-3 years"/>
    <s v="Daily"/>
    <s v="30%-40%"/>
    <s v="Mutual Fund"/>
    <x v="0"/>
    <s v="Liquidity"/>
    <s v="Fund Diversification"/>
    <s v="Safe Investment"/>
    <s v="Risk Free"/>
    <x v="3"/>
  </r>
  <r>
    <x v="0"/>
    <n v="27"/>
    <x v="2"/>
    <s v="Yes"/>
    <n v="3"/>
    <n v="6"/>
    <n v="4"/>
    <n v="2"/>
    <x v="1"/>
    <n v="1"/>
    <n v="7"/>
    <s v="Yes"/>
    <s v="Returns"/>
    <n v="3"/>
    <s v="Capital Appreciation"/>
    <x v="0"/>
    <s v="3-5 years"/>
    <s v="Monthly"/>
    <s v="20%-30%"/>
    <s v="Equity"/>
    <x v="0"/>
    <s v="Capital Appreciation"/>
    <s v="Better Returns"/>
    <s v="Assured Returns"/>
    <s v="High Interest Rates"/>
    <x v="1"/>
  </r>
  <r>
    <x v="1"/>
    <n v="21"/>
    <x v="1"/>
    <s v="Yes"/>
    <n v="2"/>
    <n v="3"/>
    <n v="7"/>
    <n v="4"/>
    <x v="2"/>
    <n v="1"/>
    <n v="5"/>
    <s v="Yes"/>
    <s v="Risk"/>
    <n v="2"/>
    <s v="Capital Appreciation"/>
    <x v="0"/>
    <s v="3-5 years"/>
    <s v="Monthly"/>
    <s v="20%-30%"/>
    <s v="Mutual Fund"/>
    <x v="0"/>
    <s v="Capital Appreciation"/>
    <s v="Better Returns"/>
    <s v="Assured Returns"/>
    <s v="Risk Free"/>
    <x v="0"/>
  </r>
  <r>
    <x v="1"/>
    <n v="35"/>
    <x v="0"/>
    <s v="Yes"/>
    <n v="2"/>
    <n v="4"/>
    <n v="7"/>
    <n v="5"/>
    <x v="4"/>
    <n v="1"/>
    <n v="6"/>
    <s v="Yes"/>
    <s v="Returns"/>
    <n v="3"/>
    <s v="Growth"/>
    <x v="1"/>
    <s v="1-3 years"/>
    <s v="Weekly"/>
    <s v="20%-30%"/>
    <s v="Equity"/>
    <x v="0"/>
    <s v="Capital Appreciation"/>
    <s v="Fund Diversification"/>
    <s v="Safe Investment"/>
    <s v="Fixed Returns"/>
    <x v="2"/>
  </r>
  <r>
    <x v="1"/>
    <n v="31"/>
    <x v="0"/>
    <s v="Yes"/>
    <n v="1"/>
    <n v="3"/>
    <n v="7"/>
    <n v="4"/>
    <x v="1"/>
    <n v="2"/>
    <n v="6"/>
    <s v="Yes"/>
    <s v="Returns"/>
    <n v="3"/>
    <s v="Capital Appreciation"/>
    <x v="0"/>
    <s v="3-5 years"/>
    <s v="Monthly"/>
    <s v="30%-40%"/>
    <s v="Fixed Deposits"/>
    <x v="0"/>
    <s v="Capital Appreciation"/>
    <s v="Fund Diversification"/>
    <s v="Assured Returns"/>
    <s v="Fixed Returns"/>
    <x v="0"/>
  </r>
  <r>
    <x v="0"/>
    <n v="35"/>
    <x v="0"/>
    <s v="Yes"/>
    <n v="2"/>
    <n v="4"/>
    <n v="7"/>
    <n v="5"/>
    <x v="4"/>
    <n v="1"/>
    <n v="6"/>
    <s v="Yes"/>
    <s v="Risk"/>
    <n v="2"/>
    <s v="Growth"/>
    <x v="1"/>
    <s v="3-5 years"/>
    <s v="Monthly"/>
    <s v="20%-30%"/>
    <s v="Mutual Fund"/>
    <x v="0"/>
    <s v="Capital Appreciation"/>
    <s v="Better Returns"/>
    <s v="Assured Returns"/>
    <s v="Risk Free"/>
    <x v="1"/>
  </r>
  <r>
    <x v="1"/>
    <n v="29"/>
    <x v="2"/>
    <s v="Yes"/>
    <n v="2"/>
    <n v="5"/>
    <n v="7"/>
    <n v="6"/>
    <x v="4"/>
    <n v="1"/>
    <n v="4"/>
    <s v="Yes"/>
    <s v="Risk"/>
    <n v="2"/>
    <s v="Capital Appreciation"/>
    <x v="0"/>
    <s v="1-3 years"/>
    <s v="Monthly"/>
    <s v="20%-30%"/>
    <s v="Mutual Fund"/>
    <x v="0"/>
    <s v="Capital Appreciation"/>
    <s v="Fund Diversification"/>
    <s v="Assured Returns"/>
    <s v="Fixed Returns"/>
    <x v="1"/>
  </r>
  <r>
    <x v="0"/>
    <n v="21"/>
    <x v="1"/>
    <s v="No"/>
    <n v="1"/>
    <n v="2"/>
    <n v="3"/>
    <n v="4"/>
    <x v="1"/>
    <n v="6"/>
    <n v="7"/>
    <s v="No"/>
    <s v="Returns"/>
    <n v="3"/>
    <s v="Capital Appreciation"/>
    <x v="1"/>
    <s v="1-3 years"/>
    <s v="Weekly"/>
    <s v="20%-30%"/>
    <s v="Mutual Fund"/>
    <x v="2"/>
    <s v="Dividend"/>
    <s v="Better Returns"/>
    <s v="Safe Investment"/>
    <s v="Risk Free"/>
    <x v="3"/>
  </r>
  <r>
    <x v="0"/>
    <n v="28"/>
    <x v="2"/>
    <s v="Yes"/>
    <n v="2"/>
    <n v="3"/>
    <n v="7"/>
    <n v="4"/>
    <x v="1"/>
    <n v="1"/>
    <n v="6"/>
    <s v="Yes"/>
    <s v="Returns"/>
    <n v="3"/>
    <s v="Capital Appreciation"/>
    <x v="0"/>
    <s v="1-3 years"/>
    <s v="Monthly"/>
    <s v="20%-30%"/>
    <s v="Mutual Fund"/>
    <x v="0"/>
    <s v="Capital Appreciation"/>
    <s v="Fund Diversification"/>
    <s v="Assured Returns"/>
    <s v="Risk Free"/>
    <x v="0"/>
  </r>
  <r>
    <x v="0"/>
    <n v="25"/>
    <x v="1"/>
    <s v="Yes"/>
    <n v="2"/>
    <n v="3"/>
    <n v="7"/>
    <n v="5"/>
    <x v="3"/>
    <n v="1"/>
    <n v="6"/>
    <s v="Yes"/>
    <s v="Returns"/>
    <n v="3"/>
    <s v="Capital Appreciation"/>
    <x v="0"/>
    <s v="1-3 years"/>
    <s v="Monthly"/>
    <s v="20%-30%"/>
    <s v="Fixed Deposits"/>
    <x v="1"/>
    <s v="Dividend"/>
    <s v="Better Returns"/>
    <s v="Assured Returns"/>
    <s v="Risk Free"/>
    <x v="1"/>
  </r>
  <r>
    <x v="1"/>
    <n v="27"/>
    <x v="2"/>
    <s v="Yes"/>
    <n v="2"/>
    <n v="3"/>
    <n v="7"/>
    <n v="5"/>
    <x v="3"/>
    <n v="1"/>
    <n v="6"/>
    <s v="Yes"/>
    <s v="Returns"/>
    <n v="3"/>
    <s v="Capital Appreciation"/>
    <x v="0"/>
    <s v="1-3 years"/>
    <s v="Monthly"/>
    <s v="20%-30%"/>
    <s v="Mutual Fund"/>
    <x v="1"/>
    <s v="Capital Appreciation"/>
    <s v="Fund Diversification"/>
    <s v="Assured Returns"/>
    <s v="Risk Free"/>
    <x v="0"/>
  </r>
  <r>
    <x v="0"/>
    <n v="28"/>
    <x v="2"/>
    <s v="Yes"/>
    <n v="3"/>
    <n v="2"/>
    <n v="7"/>
    <n v="5"/>
    <x v="3"/>
    <n v="1"/>
    <n v="6"/>
    <s v="Yes"/>
    <s v="Risk"/>
    <n v="2"/>
    <s v="Growth"/>
    <x v="0"/>
    <s v="1-3 years"/>
    <s v="Monthly"/>
    <s v="20%-30%"/>
    <s v="Fixed Deposits"/>
    <x v="1"/>
    <s v="Capital Appreciation"/>
    <s v="Fund Diversification"/>
    <s v="Assured Returns"/>
    <s v="Risk Free"/>
    <x v="2"/>
  </r>
  <r>
    <x v="1"/>
    <n v="27"/>
    <x v="2"/>
    <s v="Yes"/>
    <n v="3"/>
    <n v="2"/>
    <n v="7"/>
    <n v="4"/>
    <x v="1"/>
    <n v="1"/>
    <n v="6"/>
    <s v="Yes"/>
    <s v="Returns"/>
    <n v="3"/>
    <s v="Capital Appreciation"/>
    <x v="0"/>
    <s v="1-3 years"/>
    <s v="Monthly"/>
    <s v="20%-30%"/>
    <s v="Mutual Fund"/>
    <x v="0"/>
    <s v="Capital Appreciation"/>
    <s v="Better Returns"/>
    <s v="Assured Returns"/>
    <s v="Risk Free"/>
    <x v="1"/>
  </r>
  <r>
    <x v="1"/>
    <n v="29"/>
    <x v="2"/>
    <s v="Yes"/>
    <n v="3"/>
    <n v="2"/>
    <n v="7"/>
    <n v="4"/>
    <x v="1"/>
    <n v="1"/>
    <n v="6"/>
    <s v="Yes"/>
    <s v="Risk"/>
    <n v="2"/>
    <s v="Capital Appreciation"/>
    <x v="0"/>
    <s v="1-3 years"/>
    <s v="Monthly"/>
    <s v="20%-30%"/>
    <s v="Mutual Fund"/>
    <x v="0"/>
    <s v="Capital Appreciation"/>
    <s v="Better Returns"/>
    <s v="Assured Returns"/>
    <s v="Risk Free"/>
    <x v="0"/>
  </r>
  <r>
    <x v="1"/>
    <n v="26"/>
    <x v="2"/>
    <s v="Yes"/>
    <n v="3"/>
    <n v="4"/>
    <n v="6"/>
    <n v="5"/>
    <x v="5"/>
    <n v="2"/>
    <n v="7"/>
    <s v="Yes"/>
    <s v="Risk"/>
    <n v="2"/>
    <s v="Capital Appreciation"/>
    <x v="0"/>
    <s v="3-5 years"/>
    <s v="Monthly"/>
    <s v="20%-30%"/>
    <s v="Fixed Deposits"/>
    <x v="1"/>
    <s v="Capital Appreciation"/>
    <s v="Fund Diversification"/>
    <s v="Assured Returns"/>
    <s v="Risk Free"/>
    <x v="0"/>
  </r>
  <r>
    <x v="1"/>
    <n v="29"/>
    <x v="2"/>
    <s v="Yes"/>
    <n v="2"/>
    <n v="4"/>
    <n v="7"/>
    <n v="5"/>
    <x v="4"/>
    <n v="1"/>
    <n v="6"/>
    <s v="Yes"/>
    <s v="Returns"/>
    <n v="3"/>
    <s v="Growth"/>
    <x v="0"/>
    <s v="3-5 years"/>
    <s v="Weekly"/>
    <s v="20%-30%"/>
    <s v="Mutual Fund"/>
    <x v="0"/>
    <s v="Capital Appreciation"/>
    <s v="Better Returns"/>
    <s v="Assured Returns"/>
    <s v="Fixed Returns"/>
    <x v="1"/>
  </r>
  <r>
    <x v="0"/>
    <n v="24"/>
    <x v="1"/>
    <s v="Yes"/>
    <n v="2"/>
    <n v="4"/>
    <n v="5"/>
    <n v="6"/>
    <x v="4"/>
    <n v="1"/>
    <n v="7"/>
    <s v="Yes"/>
    <s v="Risk"/>
    <n v="2"/>
    <s v="Capital Appreciation"/>
    <x v="0"/>
    <s v="3-5 years"/>
    <s v="Monthly"/>
    <s v="20%-30%"/>
    <s v="Equity"/>
    <x v="1"/>
    <s v="Capital Appreciation"/>
    <s v="Better Returns"/>
    <s v="Assured Returns"/>
    <s v="Risk Free"/>
    <x v="0"/>
  </r>
  <r>
    <x v="1"/>
    <n v="27"/>
    <x v="2"/>
    <s v="Yes"/>
    <n v="3"/>
    <n v="4"/>
    <n v="6"/>
    <n v="5"/>
    <x v="6"/>
    <n v="1"/>
    <n v="7"/>
    <s v="Yes"/>
    <s v="Returns"/>
    <n v="3"/>
    <s v="Capital Appreciation"/>
    <x v="0"/>
    <s v="3-5 years"/>
    <s v="Monthly"/>
    <s v="20%-30%"/>
    <s v="Mutual Fund"/>
    <x v="0"/>
    <s v="Capital Appreciation"/>
    <s v="Better Returns"/>
    <s v="Assured Returns"/>
    <s v="Risk Free"/>
    <x v="1"/>
  </r>
  <r>
    <x v="1"/>
    <n v="25"/>
    <x v="1"/>
    <s v="Yes"/>
    <n v="2"/>
    <n v="4"/>
    <n v="6"/>
    <n v="5"/>
    <x v="4"/>
    <n v="1"/>
    <n v="7"/>
    <s v="Yes"/>
    <s v="Risk"/>
    <n v="2"/>
    <s v="Growth"/>
    <x v="1"/>
    <s v="3-5 years"/>
    <s v="Weekly"/>
    <s v="20%-30%"/>
    <s v="Public Provident Fund"/>
    <x v="1"/>
    <s v="Liquidity"/>
    <s v="Better Returns"/>
    <s v="Assured Returns"/>
    <s v="Risk Free"/>
    <x v="1"/>
  </r>
  <r>
    <x v="0"/>
    <n v="26"/>
    <x v="2"/>
    <s v="No"/>
    <n v="2"/>
    <n v="3"/>
    <n v="7"/>
    <n v="5"/>
    <x v="3"/>
    <n v="1"/>
    <n v="6"/>
    <s v="Yes"/>
    <s v="Returns"/>
    <n v="3"/>
    <s v="Capital Appreciation"/>
    <x v="0"/>
    <s v="3-5 years"/>
    <s v="Monthly"/>
    <s v="30%-40%"/>
    <s v="Public Provident Fund"/>
    <x v="0"/>
    <s v="Capital Appreciation"/>
    <s v="Better Returns"/>
    <s v="Assured Returns"/>
    <s v="Risk Free"/>
    <x v="0"/>
  </r>
  <r>
    <x v="0"/>
    <n v="32"/>
    <x v="0"/>
    <s v="Yes"/>
    <n v="3"/>
    <n v="4"/>
    <n v="7"/>
    <n v="5"/>
    <x v="5"/>
    <n v="2"/>
    <n v="6"/>
    <s v="Yes"/>
    <s v="Risk"/>
    <n v="2"/>
    <s v="Growth"/>
    <x v="0"/>
    <s v="3-5 years"/>
    <s v="Monthly"/>
    <s v="20%-30%"/>
    <s v="Mutual Fund"/>
    <x v="0"/>
    <s v="Capital Appreciation"/>
    <s v="Better Returns"/>
    <s v="Assured Returns"/>
    <s v="Fixed Returns"/>
    <x v="1"/>
  </r>
  <r>
    <x v="1"/>
    <n v="26"/>
    <x v="2"/>
    <s v="Yes"/>
    <n v="3"/>
    <n v="4"/>
    <n v="6"/>
    <n v="5"/>
    <x v="5"/>
    <n v="2"/>
    <n v="7"/>
    <s v="Yes"/>
    <s v="Returns"/>
    <n v="3"/>
    <s v="Capital Appreciation"/>
    <x v="0"/>
    <s v="3-5 years"/>
    <s v="Monthly"/>
    <s v="20%-30%"/>
    <s v="Mutual Fund"/>
    <x v="0"/>
    <s v="Dividend"/>
    <s v="Fund Diversification"/>
    <s v="Assured Returns"/>
    <s v="Fixed Returns"/>
    <x v="1"/>
  </r>
  <r>
    <x v="1"/>
    <n v="31"/>
    <x v="0"/>
    <s v="Yes"/>
    <n v="2"/>
    <n v="3"/>
    <n v="7"/>
    <n v="6"/>
    <x v="3"/>
    <n v="1"/>
    <n v="5"/>
    <s v="Yes"/>
    <s v="Risk"/>
    <n v="2"/>
    <s v="Growth"/>
    <x v="1"/>
    <s v="1-3 years"/>
    <s v="Monthly"/>
    <s v="20%-30%"/>
    <s v="Fixed Deposits"/>
    <x v="1"/>
    <s v="Capital Appreciation"/>
    <s v="Fund Diversification"/>
    <s v="Safe Investment"/>
    <s v="Fixed Returns"/>
    <x v="2"/>
  </r>
  <r>
    <x v="1"/>
    <n v="29"/>
    <x v="2"/>
    <s v="Yes"/>
    <n v="2"/>
    <n v="3"/>
    <n v="6"/>
    <n v="5"/>
    <x v="5"/>
    <n v="4"/>
    <n v="7"/>
    <s v="Yes"/>
    <s v="Returns"/>
    <n v="3"/>
    <s v="Capital Appreciation"/>
    <x v="0"/>
    <s v="1-3 years"/>
    <s v="Monthly"/>
    <s v="20%-30%"/>
    <s v="Equity"/>
    <x v="0"/>
    <s v="Capital Appreciation"/>
    <s v="Better Returns"/>
    <s v="Assured Returns"/>
    <s v="Risk Free"/>
    <x v="2"/>
  </r>
  <r>
    <x v="0"/>
    <n v="34"/>
    <x v="0"/>
    <s v="Yes"/>
    <n v="5"/>
    <n v="4"/>
    <n v="3"/>
    <n v="2"/>
    <x v="0"/>
    <n v="1"/>
    <n v="6"/>
    <s v="Yes"/>
    <s v="Returns"/>
    <n v="3"/>
    <s v="Income"/>
    <x v="2"/>
    <s v="3-5 years"/>
    <s v="Monthly"/>
    <s v="10%-20%"/>
    <s v="Mutual Fund"/>
    <x v="0"/>
    <s v="Capital Appreciation"/>
    <s v="Tax Benefits"/>
    <s v="Safe Investment"/>
    <s v="Fixed Returns"/>
    <x v="0"/>
  </r>
  <r>
    <x v="1"/>
    <n v="27"/>
    <x v="2"/>
    <s v="Yes"/>
    <n v="4"/>
    <n v="5"/>
    <n v="1"/>
    <n v="2"/>
    <x v="0"/>
    <n v="3"/>
    <n v="6"/>
    <s v="No"/>
    <s v="Returns"/>
    <n v="3"/>
    <s v="Growth"/>
    <x v="0"/>
    <s v="1-3 years"/>
    <s v="Monthly"/>
    <s v="10%-20%"/>
    <s v="Mutual Fund"/>
    <x v="2"/>
    <s v="Capital Appreciation"/>
    <s v="Tax Benefits"/>
    <s v="Safe Investment"/>
    <s v="Fixed Returns"/>
    <x v="2"/>
  </r>
  <r>
    <x v="0"/>
    <n v="31"/>
    <x v="0"/>
    <s v="No"/>
    <n v="2"/>
    <n v="4"/>
    <n v="7"/>
    <n v="6"/>
    <x v="4"/>
    <n v="1"/>
    <n v="5"/>
    <s v="Yes"/>
    <s v="Returns"/>
    <n v="3"/>
    <s v="Capital Appreciation"/>
    <x v="0"/>
    <s v="3-5 years"/>
    <s v="Monthly"/>
    <s v="20%-30%"/>
    <s v="Fixed Deposits"/>
    <x v="0"/>
    <s v="Capital Appreciation"/>
    <s v="Better Returns"/>
    <s v="Assured Returns"/>
    <s v="Fixed Returns"/>
    <x v="1"/>
  </r>
  <r>
    <x v="1"/>
    <n v="27"/>
    <x v="2"/>
    <s v="Yes"/>
    <n v="2"/>
    <n v="4"/>
    <n v="7"/>
    <n v="5"/>
    <x v="5"/>
    <n v="3"/>
    <n v="6"/>
    <s v="Yes"/>
    <s v="Returns"/>
    <n v="3"/>
    <s v="Capital Appreciation"/>
    <x v="0"/>
    <s v="3-5 years"/>
    <s v="Monthly"/>
    <s v="30%-40%"/>
    <s v="Equity"/>
    <x v="1"/>
    <s v="Capital Appreciation"/>
    <s v="Fund Diversification"/>
    <s v="Assured Returns"/>
    <s v="Fixed Returns"/>
    <x v="0"/>
  </r>
  <r>
    <x v="1"/>
    <n v="26"/>
    <x v="2"/>
    <s v="Yes"/>
    <n v="2"/>
    <n v="3"/>
    <n v="6"/>
    <n v="4"/>
    <x v="5"/>
    <n v="5"/>
    <n v="7"/>
    <s v="Yes"/>
    <s v="Returns"/>
    <n v="3"/>
    <s v="Capital Appreciation"/>
    <x v="2"/>
    <s v="1-3 years"/>
    <s v="Monthly"/>
    <s v="20%-30%"/>
    <s v="Fixed Deposits"/>
    <x v="2"/>
    <s v="Dividend"/>
    <s v="Better Returns"/>
    <s v="Safe Investment"/>
    <s v="Risk Free"/>
    <x v="0"/>
  </r>
  <r>
    <x v="1"/>
    <n v="27"/>
    <x v="2"/>
    <s v="Yes"/>
    <n v="2"/>
    <n v="3"/>
    <n v="6"/>
    <n v="5"/>
    <x v="3"/>
    <n v="1"/>
    <n v="7"/>
    <s v="Yes"/>
    <s v="Returns"/>
    <n v="3"/>
    <s v="Capital Appreciation"/>
    <x v="0"/>
    <s v="1-3 years"/>
    <s v="Weekly"/>
    <s v="20%-30%"/>
    <s v="Mutual Fund"/>
    <x v="1"/>
    <s v="Capital Appreciation"/>
    <s v="Better Returns"/>
    <s v="Safe Investment"/>
    <s v="Fixed Returns"/>
    <x v="1"/>
  </r>
  <r>
    <x v="1"/>
    <n v="30"/>
    <x v="2"/>
    <s v="Yes"/>
    <n v="1"/>
    <n v="4"/>
    <n v="6"/>
    <n v="5"/>
    <x v="4"/>
    <n v="2"/>
    <n v="7"/>
    <s v="Yes"/>
    <s v="Risk"/>
    <n v="2"/>
    <s v="Growth"/>
    <x v="0"/>
    <s v="3-5 years"/>
    <s v="Monthly"/>
    <s v="20%-30%"/>
    <s v="Fixed Deposits"/>
    <x v="1"/>
    <s v="Capital Appreciation"/>
    <s v="Better Returns"/>
    <s v="Assured Returns"/>
    <s v="Fixed Returns"/>
    <x v="1"/>
  </r>
  <r>
    <x v="1"/>
    <n v="30"/>
    <x v="2"/>
    <s v="Yes"/>
    <n v="2"/>
    <n v="4"/>
    <n v="7"/>
    <n v="5"/>
    <x v="5"/>
    <n v="3"/>
    <n v="6"/>
    <s v="Yes"/>
    <s v="Returns"/>
    <n v="3"/>
    <s v="Capital Appreciation"/>
    <x v="0"/>
    <s v="1-3 years"/>
    <s v="Monthly"/>
    <s v="20%-30%"/>
    <s v="Equity"/>
    <x v="0"/>
    <s v="Capital Appreciation"/>
    <s v="Better Returns"/>
    <s v="Assured Returns"/>
    <s v="Risk Free"/>
    <x v="0"/>
  </r>
  <r>
    <x v="1"/>
    <n v="25"/>
    <x v="1"/>
    <s v="Yes"/>
    <n v="5"/>
    <n v="4"/>
    <n v="7"/>
    <n v="6"/>
    <x v="5"/>
    <n v="2"/>
    <n v="3"/>
    <s v="Yes"/>
    <s v="Risk"/>
    <n v="2"/>
    <s v="Growth"/>
    <x v="1"/>
    <s v="3-5 years"/>
    <s v="Monthly"/>
    <s v="30%-40%"/>
    <s v="Public Provident Fund"/>
    <x v="1"/>
    <s v="Capital Appreciation"/>
    <s v="Better Returns"/>
    <s v="Safe Investment"/>
    <s v="Fixed Returns"/>
    <x v="1"/>
  </r>
  <r>
    <x v="1"/>
    <n v="31"/>
    <x v="0"/>
    <s v="Yes"/>
    <n v="2"/>
    <n v="4"/>
    <n v="7"/>
    <n v="5"/>
    <x v="4"/>
    <n v="1"/>
    <n v="6"/>
    <s v="Yes"/>
    <s v="Risk"/>
    <n v="2"/>
    <s v="Growth"/>
    <x v="0"/>
    <s v="1-3 years"/>
    <s v="Weekly"/>
    <s v="20%-30%"/>
    <s v="Equity"/>
    <x v="1"/>
    <s v="Dividend"/>
    <s v="Fund Diversification"/>
    <s v="Assured Returns"/>
    <s v="Fixed Returns"/>
    <x v="0"/>
  </r>
  <r>
    <x v="1"/>
    <n v="29"/>
    <x v="2"/>
    <s v="Yes"/>
    <n v="4"/>
    <n v="3"/>
    <n v="5"/>
    <n v="7"/>
    <x v="6"/>
    <n v="1"/>
    <n v="6"/>
    <s v="Yes"/>
    <s v="Returns"/>
    <n v="3"/>
    <s v="Capital Appreciation"/>
    <x v="0"/>
    <s v="3-5 years"/>
    <s v="Monthly"/>
    <s v="20%-30%"/>
    <s v="Fixed Deposits"/>
    <x v="0"/>
    <s v="Dividend"/>
    <s v="Better Returns"/>
    <s v="Safe Investment"/>
    <s v="Fixed Return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AE2A9C-08ED-4420-A3A4-39CC4163D05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rowPageCount="1" colPageCount="1"/>
  <pivotFields count="26">
    <pivotField showAll="0">
      <items count="3">
        <item x="0"/>
        <item x="1"/>
        <item t="default"/>
      </items>
    </pivotField>
    <pivotField numFmtId="1" showAll="0"/>
    <pivotField axis="axisRow" multipleItemSelectionAllowed="1" showAll="0">
      <items count="4">
        <item x="1"/>
        <item x="2"/>
        <item x="0"/>
        <item t="default"/>
      </items>
    </pivotField>
    <pivotField showAll="0"/>
    <pivotField numFmtId="1" showAll="0"/>
    <pivotField numFmtId="1" showAll="0"/>
    <pivotField numFmtId="1" showAll="0"/>
    <pivotField numFmtId="1" showAll="0"/>
    <pivotField numFmtId="1" showAll="0">
      <items count="8">
        <item x="5"/>
        <item x="6"/>
        <item x="4"/>
        <item x="3"/>
        <item x="1"/>
        <item x="2"/>
        <item x="0"/>
        <item t="default"/>
      </items>
    </pivotField>
    <pivotField numFmtId="1" showAll="0"/>
    <pivotField numFmtId="1" showAll="0"/>
    <pivotField showAll="0"/>
    <pivotField showAll="0"/>
    <pivotField showAll="0"/>
    <pivotField showAll="0"/>
    <pivotField axis="axisPage" dataField="1" multipleItemSelectionAllowed="1" showAll="0">
      <items count="4">
        <item h="1" x="2"/>
        <item h="1" x="1"/>
        <item x="0"/>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5">
        <item x="1"/>
        <item x="3"/>
        <item x="0"/>
        <item x="2"/>
        <item t="default"/>
      </items>
    </pivotField>
  </pivotFields>
  <rowFields count="1">
    <field x="2"/>
  </rowFields>
  <rowItems count="4">
    <i>
      <x/>
    </i>
    <i>
      <x v="1"/>
    </i>
    <i>
      <x v="2"/>
    </i>
    <i t="grand">
      <x/>
    </i>
  </rowItems>
  <colItems count="1">
    <i/>
  </colItems>
  <pageFields count="1">
    <pageField fld="15" hier="-1"/>
  </pageFields>
  <dataFields count="1">
    <dataField name="Count of Purpose"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42BB48-B146-416E-A1FB-C46F11F385DD}" name="Table1" displayName="Table1" ref="A1:Z41" headerRowDxfId="55" dataDxfId="54">
  <autoFilter ref="A1:Z41" xr:uid="{8642BB48-B146-416E-A1FB-C46F11F385DD}"/>
  <tableColumns count="26">
    <tableColumn id="1" xr3:uid="{F8679B41-E09D-4CAA-AFE1-F90709ED6431}" name="Gender (Proper case)" dataDxfId="40" totalsRowDxfId="2"/>
    <tableColumn id="2" xr3:uid="{C5F6A806-4720-49D6-AE87-E6F4240CC5A5}" name="Age" dataDxfId="39" totalsRowDxfId="3"/>
    <tableColumn id="28" xr3:uid="{13E8E1D8-0A03-4E6A-B632-757D774238F0}" name="Age_group" dataDxfId="28" totalsRowDxfId="4">
      <calculatedColumnFormula>IF(B2&lt;=25,"21-25",IF(B2&lt;=30,"26-30",IF(B2&lt;=35,"31-35","36+")))</calculatedColumnFormula>
    </tableColumn>
    <tableColumn id="3" xr3:uid="{6847A90B-10AF-46F7-A7E4-0D43C8739533}" name="Investment_Avenues" dataDxfId="38" totalsRowDxfId="5"/>
    <tableColumn id="4" xr3:uid="{4222CA92-F0DF-4A9F-BB9F-2A617DE98E58}" name="Mutual_Funds" totalsRowFunction="custom" dataDxfId="37" totalsRowDxfId="6">
      <totalsRowFormula>AVERAGE(Table1[Mutual_Funds])</totalsRowFormula>
    </tableColumn>
    <tableColumn id="5" xr3:uid="{0A0D7D3C-A76A-4E88-9922-F3EB1F341CF5}" name="Equity_Market" totalsRowFunction="custom" dataDxfId="36" totalsRowDxfId="7">
      <totalsRowFormula>AVERAGE(Table1[Mutual_Funds])</totalsRowFormula>
    </tableColumn>
    <tableColumn id="6" xr3:uid="{16523A80-F43A-4C8F-8794-BEE5EE2C06AF}" name="Debentures" totalsRowFunction="custom" dataDxfId="35" totalsRowDxfId="8">
      <totalsRowFormula>AVERAGE(Table1[Mutual_Funds])</totalsRowFormula>
    </tableColumn>
    <tableColumn id="7" xr3:uid="{EC47852C-B75F-4FD8-9623-A9BE600D0C7D}" name="Government_Bonds" totalsRowFunction="custom" dataDxfId="34" totalsRowDxfId="9">
      <totalsRowFormula>AVERAGE(Table1[Mutual_Funds])</totalsRowFormula>
    </tableColumn>
    <tableColumn id="8" xr3:uid="{0163ABE9-2005-466D-893A-41F591823F61}" name="Fixed__x000a_Deposits" totalsRowFunction="custom" dataDxfId="33" totalsRowDxfId="10">
      <totalsRowFormula>AVERAGE(Table1[Mutual_Funds])</totalsRowFormula>
    </tableColumn>
    <tableColumn id="9" xr3:uid="{736C6BCE-88E5-45A0-8791-AAF4547B342E}" name="PPF" totalsRowFunction="custom" dataDxfId="32" totalsRowDxfId="11">
      <totalsRowFormula>AVERAGE(Table1[Mutual_Funds])</totalsRowFormula>
    </tableColumn>
    <tableColumn id="10" xr3:uid="{437DF57D-B172-4829-89D2-2784FC16C46A}" name="Gold" totalsRowFunction="custom" dataDxfId="30" totalsRowDxfId="12">
      <totalsRowFormula>AVERAGE(Table1[Mutual_Funds])</totalsRowFormula>
    </tableColumn>
    <tableColumn id="11" xr3:uid="{35E782A3-6FE8-42F9-80DF-DAA98C6C0049}" name="Stock__x000a_Marktet" totalsRowFunction="custom" dataDxfId="31" totalsRowDxfId="13">
      <totalsRowFormula>AVERAGE(Table1[Mutual_Funds])</totalsRowFormula>
    </tableColumn>
    <tableColumn id="12" xr3:uid="{0FA4368F-D1F9-4F18-9AD8-F36272C7B301}" name="Factor" dataDxfId="53" totalsRowDxfId="14"/>
    <tableColumn id="27" xr3:uid="{DC414ECA-A4E4-4755-B0AD-E9407815678C}" name="Factor_Score" dataDxfId="29" totalsRowDxfId="15">
      <calculatedColumnFormula>IF(M2="Returns",3, IF(M2="Risk",2, IF(M2="Locking Period",1,"")))</calculatedColumnFormula>
    </tableColumn>
    <tableColumn id="13" xr3:uid="{D211048E-545E-466E-9E06-16AE22F0827F}" name="Objective" dataDxfId="52" totalsRowDxfId="16"/>
    <tableColumn id="14" xr3:uid="{CB722B40-4AA8-447F-9B4E-BCCDFDBC162B}" name="Purpose" dataDxfId="51" totalsRowDxfId="17"/>
    <tableColumn id="15" xr3:uid="{DB6CA14F-18ED-4AA7-A012-0452F034E725}" name="Duration" dataDxfId="50" totalsRowDxfId="18"/>
    <tableColumn id="16" xr3:uid="{61991B01-72E8-4966-810C-7BF2772D06E4}" name="Invest_Monitor" dataDxfId="49" totalsRowDxfId="19"/>
    <tableColumn id="17" xr3:uid="{871A6A51-720C-4741-993B-3CD72E5F2B47}" name="Expect" dataDxfId="48" totalsRowDxfId="20"/>
    <tableColumn id="18" xr3:uid="{FA0F6612-203E-4A90-9F91-5EC31D5DA4FF}" name="Avenue" dataDxfId="47" totalsRowDxfId="21"/>
    <tableColumn id="19" xr3:uid="{B80BBC61-053B-427E-850E-9A2639643C52}" name="What are your savings objectives?" dataDxfId="46" totalsRowDxfId="22"/>
    <tableColumn id="20" xr3:uid="{0B17287B-B2C6-421C-AAFA-1DBB16BAC9BC}" name="Reason_Equity" dataDxfId="45" totalsRowDxfId="23"/>
    <tableColumn id="21" xr3:uid="{F236C959-C7A8-4CE1-A9D6-1BDE117B7E51}" name="Reason_Mutual" dataDxfId="44" totalsRowDxfId="24"/>
    <tableColumn id="22" xr3:uid="{F3BBCBDA-A1EF-4A73-AEB9-BFC2ADFC1C7E}" name="Reason_Bonds" dataDxfId="43" totalsRowDxfId="25"/>
    <tableColumn id="23" xr3:uid="{9DDE9D26-E4D1-46A5-B21C-09AA19E9D746}" name="Reason_FD" dataDxfId="42" totalsRowDxfId="26"/>
    <tableColumn id="24" xr3:uid="{13E0752E-8633-491B-927D-1275675196E5}" name="Source" dataDxfId="41" totalsRowDxfId="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C512F-7B16-41DD-8656-A994746B3C97}">
  <dimension ref="A1:Z44"/>
  <sheetViews>
    <sheetView showGridLines="0" tabSelected="1" topLeftCell="M1" zoomScale="85" zoomScaleNormal="85" workbookViewId="0">
      <pane ySplit="1" topLeftCell="A41" activePane="bottomLeft" state="frozen"/>
      <selection activeCell="L1" sqref="L1"/>
      <selection pane="bottomLeft" activeCell="U58" sqref="U58"/>
    </sheetView>
  </sheetViews>
  <sheetFormatPr defaultRowHeight="14.4" x14ac:dyDescent="0.3"/>
  <cols>
    <col min="1" max="1" width="13.44140625" style="1" bestFit="1" customWidth="1"/>
    <col min="2" max="2" width="4.5546875" style="1" bestFit="1" customWidth="1"/>
    <col min="3" max="3" width="20.88671875" style="1" bestFit="1" customWidth="1"/>
    <col min="4" max="4" width="14.21875" style="1" bestFit="1" customWidth="1"/>
    <col min="5" max="5" width="14.109375" style="1" customWidth="1"/>
    <col min="6" max="6" width="15.109375" style="1" customWidth="1"/>
    <col min="7" max="7" width="13.6640625" style="1" customWidth="1"/>
    <col min="8" max="8" width="13.5546875" style="1" customWidth="1"/>
    <col min="9" max="9" width="10" style="1" customWidth="1"/>
    <col min="10" max="10" width="6.109375" style="1" customWidth="1"/>
    <col min="11" max="11" width="8.88671875" style="1" customWidth="1"/>
    <col min="12" max="12" width="11.5546875" style="1" customWidth="1"/>
    <col min="13" max="13" width="7.33203125" style="1" customWidth="1"/>
    <col min="14" max="14" width="15.77734375" style="1" bestFit="1" customWidth="1"/>
    <col min="15" max="15" width="18.5546875" style="1" bestFit="1" customWidth="1"/>
    <col min="16" max="16" width="15.88671875" style="1" customWidth="1"/>
    <col min="17" max="17" width="15.88671875" style="1" bestFit="1" customWidth="1"/>
    <col min="18" max="18" width="8.88671875" style="1" bestFit="1" customWidth="1"/>
    <col min="19" max="20" width="19.33203125" style="1" bestFit="1" customWidth="1"/>
    <col min="21" max="21" width="21.88671875" style="1" bestFit="1" customWidth="1"/>
    <col min="22" max="23" width="18" style="1" bestFit="1" customWidth="1"/>
    <col min="24" max="24" width="17.44140625" style="1" bestFit="1" customWidth="1"/>
    <col min="25" max="25" width="17" style="1" bestFit="1" customWidth="1"/>
    <col min="26" max="26" width="24.5546875" style="1" bestFit="1" customWidth="1"/>
    <col min="27" max="16384" width="8.88671875" style="1"/>
  </cols>
  <sheetData>
    <row r="1" spans="1:26" s="3" customFormat="1" ht="39" customHeight="1" x14ac:dyDescent="0.3">
      <c r="A1" s="2" t="s">
        <v>106</v>
      </c>
      <c r="B1" s="2" t="s">
        <v>91</v>
      </c>
      <c r="C1" s="2" t="s">
        <v>120</v>
      </c>
      <c r="D1" s="2" t="s">
        <v>0</v>
      </c>
      <c r="E1" s="2" t="s">
        <v>1</v>
      </c>
      <c r="F1" s="2" t="s">
        <v>2</v>
      </c>
      <c r="G1" s="2" t="s">
        <v>3</v>
      </c>
      <c r="H1" s="2" t="s">
        <v>4</v>
      </c>
      <c r="I1" s="2" t="s">
        <v>113</v>
      </c>
      <c r="J1" s="2" t="s">
        <v>5</v>
      </c>
      <c r="K1" s="2" t="s">
        <v>6</v>
      </c>
      <c r="L1" s="2" t="s">
        <v>114</v>
      </c>
      <c r="M1" s="2" t="s">
        <v>7</v>
      </c>
      <c r="N1" s="2" t="s">
        <v>117</v>
      </c>
      <c r="O1" s="2" t="s">
        <v>8</v>
      </c>
      <c r="P1" s="2" t="s">
        <v>9</v>
      </c>
      <c r="Q1" s="2" t="s">
        <v>10</v>
      </c>
      <c r="R1" s="2" t="s">
        <v>11</v>
      </c>
      <c r="S1" s="2" t="s">
        <v>12</v>
      </c>
      <c r="T1" s="2" t="s">
        <v>13</v>
      </c>
      <c r="U1" s="2" t="s">
        <v>14</v>
      </c>
      <c r="V1" s="2" t="s">
        <v>15</v>
      </c>
      <c r="W1" s="2" t="s">
        <v>16</v>
      </c>
      <c r="X1" s="2" t="s">
        <v>109</v>
      </c>
      <c r="Y1" s="2" t="s">
        <v>17</v>
      </c>
      <c r="Z1" s="2" t="s">
        <v>18</v>
      </c>
    </row>
    <row r="2" spans="1:26" x14ac:dyDescent="0.3">
      <c r="A2" s="1" t="s">
        <v>19</v>
      </c>
      <c r="B2" s="17">
        <v>34</v>
      </c>
      <c r="C2" s="17" t="str">
        <f>IF(B2&lt;=25,"21-25",IF(B2&lt;=30,"26-30",IF(B2&lt;=35,"31-35","36+")))</f>
        <v>31-35</v>
      </c>
      <c r="D2" s="1" t="s">
        <v>20</v>
      </c>
      <c r="E2" s="17">
        <v>1</v>
      </c>
      <c r="F2" s="17">
        <v>2</v>
      </c>
      <c r="G2" s="17">
        <v>5</v>
      </c>
      <c r="H2" s="17">
        <v>3</v>
      </c>
      <c r="I2" s="17">
        <v>7</v>
      </c>
      <c r="J2" s="17">
        <v>6</v>
      </c>
      <c r="K2" s="17">
        <v>4</v>
      </c>
      <c r="L2" s="1" t="s">
        <v>20</v>
      </c>
      <c r="M2" s="1" t="s">
        <v>21</v>
      </c>
      <c r="N2" s="1">
        <f t="shared" ref="N2:N41" si="0">IF(M2="Returns",3, IF(M2="Risk",2, IF(M2="Locking Period",1,"")))</f>
        <v>3</v>
      </c>
      <c r="O2" s="1" t="s">
        <v>22</v>
      </c>
      <c r="P2" s="1" t="s">
        <v>23</v>
      </c>
      <c r="Q2" s="1" t="s">
        <v>24</v>
      </c>
      <c r="R2" s="1" t="s">
        <v>25</v>
      </c>
      <c r="S2" s="1" t="s">
        <v>26</v>
      </c>
      <c r="T2" s="1" t="s">
        <v>27</v>
      </c>
      <c r="U2" s="1" t="s">
        <v>28</v>
      </c>
      <c r="V2" s="1" t="s">
        <v>22</v>
      </c>
      <c r="W2" s="1" t="s">
        <v>29</v>
      </c>
      <c r="X2" s="1" t="s">
        <v>30</v>
      </c>
      <c r="Y2" s="1" t="s">
        <v>31</v>
      </c>
      <c r="Z2" s="1" t="s">
        <v>32</v>
      </c>
    </row>
    <row r="3" spans="1:26" x14ac:dyDescent="0.3">
      <c r="A3" s="1" t="s">
        <v>19</v>
      </c>
      <c r="B3" s="17">
        <v>23</v>
      </c>
      <c r="C3" s="17" t="str">
        <f t="shared" ref="C3:C41" si="1">IF(B3&lt;=25,"21-25",IF(B3&lt;=30,"26-30",IF(B3&lt;=35,"31-35","36+")))</f>
        <v>21-25</v>
      </c>
      <c r="D3" s="1" t="s">
        <v>20</v>
      </c>
      <c r="E3" s="17">
        <v>4</v>
      </c>
      <c r="F3" s="17">
        <v>3</v>
      </c>
      <c r="G3" s="17">
        <v>2</v>
      </c>
      <c r="H3" s="17">
        <v>1</v>
      </c>
      <c r="I3" s="17">
        <v>5</v>
      </c>
      <c r="J3" s="17">
        <v>6</v>
      </c>
      <c r="K3" s="17">
        <v>7</v>
      </c>
      <c r="L3" s="1" t="s">
        <v>33</v>
      </c>
      <c r="M3" s="1" t="s">
        <v>34</v>
      </c>
      <c r="N3" s="1">
        <f t="shared" si="0"/>
        <v>1</v>
      </c>
      <c r="O3" s="1" t="s">
        <v>22</v>
      </c>
      <c r="P3" s="1" t="s">
        <v>23</v>
      </c>
      <c r="Q3" s="1" t="s">
        <v>35</v>
      </c>
      <c r="R3" s="1" t="s">
        <v>36</v>
      </c>
      <c r="S3" s="1" t="s">
        <v>26</v>
      </c>
      <c r="T3" s="1" t="s">
        <v>27</v>
      </c>
      <c r="U3" s="1" t="s">
        <v>37</v>
      </c>
      <c r="V3" s="1" t="s">
        <v>38</v>
      </c>
      <c r="W3" s="1" t="s">
        <v>29</v>
      </c>
      <c r="X3" s="1" t="s">
        <v>30</v>
      </c>
      <c r="Y3" s="1" t="s">
        <v>39</v>
      </c>
      <c r="Z3" s="1" t="s">
        <v>40</v>
      </c>
    </row>
    <row r="4" spans="1:26" x14ac:dyDescent="0.3">
      <c r="A4" s="1" t="s">
        <v>41</v>
      </c>
      <c r="B4" s="17">
        <v>30</v>
      </c>
      <c r="C4" s="17" t="str">
        <f t="shared" si="1"/>
        <v>26-30</v>
      </c>
      <c r="D4" s="1" t="s">
        <v>20</v>
      </c>
      <c r="E4" s="17">
        <v>3</v>
      </c>
      <c r="F4" s="17">
        <v>6</v>
      </c>
      <c r="G4" s="17">
        <v>4</v>
      </c>
      <c r="H4" s="17">
        <v>2</v>
      </c>
      <c r="I4" s="17">
        <v>5</v>
      </c>
      <c r="J4" s="17">
        <v>1</v>
      </c>
      <c r="K4" s="17">
        <v>7</v>
      </c>
      <c r="L4" s="1" t="s">
        <v>20</v>
      </c>
      <c r="M4" s="1" t="s">
        <v>21</v>
      </c>
      <c r="N4" s="1">
        <f t="shared" si="0"/>
        <v>3</v>
      </c>
      <c r="O4" s="1" t="s">
        <v>22</v>
      </c>
      <c r="P4" s="1" t="s">
        <v>23</v>
      </c>
      <c r="Q4" s="1" t="s">
        <v>42</v>
      </c>
      <c r="R4" s="1" t="s">
        <v>43</v>
      </c>
      <c r="S4" s="1" t="s">
        <v>26</v>
      </c>
      <c r="T4" s="1" t="s">
        <v>44</v>
      </c>
      <c r="U4" s="1" t="s">
        <v>28</v>
      </c>
      <c r="V4" s="1" t="s">
        <v>22</v>
      </c>
      <c r="W4" s="1" t="s">
        <v>45</v>
      </c>
      <c r="X4" s="1" t="s">
        <v>46</v>
      </c>
      <c r="Y4" s="1" t="s">
        <v>31</v>
      </c>
      <c r="Z4" s="1" t="s">
        <v>47</v>
      </c>
    </row>
    <row r="5" spans="1:26" x14ac:dyDescent="0.3">
      <c r="A5" s="1" t="s">
        <v>41</v>
      </c>
      <c r="B5" s="17">
        <v>22</v>
      </c>
      <c r="C5" s="17" t="str">
        <f t="shared" si="1"/>
        <v>21-25</v>
      </c>
      <c r="D5" s="1" t="s">
        <v>20</v>
      </c>
      <c r="E5" s="17">
        <v>2</v>
      </c>
      <c r="F5" s="17">
        <v>1</v>
      </c>
      <c r="G5" s="17">
        <v>3</v>
      </c>
      <c r="H5" s="17">
        <v>7</v>
      </c>
      <c r="I5" s="17">
        <v>6</v>
      </c>
      <c r="J5" s="17">
        <v>4</v>
      </c>
      <c r="K5" s="17">
        <v>5</v>
      </c>
      <c r="L5" s="1" t="s">
        <v>20</v>
      </c>
      <c r="M5" s="1" t="s">
        <v>21</v>
      </c>
      <c r="N5" s="1">
        <f t="shared" si="0"/>
        <v>3</v>
      </c>
      <c r="O5" s="1" t="s">
        <v>48</v>
      </c>
      <c r="P5" s="1" t="s">
        <v>23</v>
      </c>
      <c r="Q5" s="1" t="s">
        <v>49</v>
      </c>
      <c r="R5" s="1" t="s">
        <v>43</v>
      </c>
      <c r="S5" s="1" t="s">
        <v>50</v>
      </c>
      <c r="T5" s="1" t="s">
        <v>44</v>
      </c>
      <c r="U5" s="1" t="s">
        <v>28</v>
      </c>
      <c r="V5" s="1" t="s">
        <v>38</v>
      </c>
      <c r="W5" s="1" t="s">
        <v>51</v>
      </c>
      <c r="X5" s="1" t="s">
        <v>52</v>
      </c>
      <c r="Y5" s="1" t="s">
        <v>39</v>
      </c>
      <c r="Z5" s="1" t="s">
        <v>53</v>
      </c>
    </row>
    <row r="6" spans="1:26" x14ac:dyDescent="0.3">
      <c r="A6" s="1" t="s">
        <v>19</v>
      </c>
      <c r="B6" s="17">
        <v>24</v>
      </c>
      <c r="C6" s="17" t="str">
        <f t="shared" si="1"/>
        <v>21-25</v>
      </c>
      <c r="D6" s="1" t="s">
        <v>33</v>
      </c>
      <c r="E6" s="17">
        <v>2</v>
      </c>
      <c r="F6" s="17">
        <v>1</v>
      </c>
      <c r="G6" s="17">
        <v>3</v>
      </c>
      <c r="H6" s="17">
        <v>6</v>
      </c>
      <c r="I6" s="17">
        <v>4</v>
      </c>
      <c r="J6" s="17">
        <v>5</v>
      </c>
      <c r="K6" s="17">
        <v>7</v>
      </c>
      <c r="L6" s="1" t="s">
        <v>33</v>
      </c>
      <c r="M6" s="1" t="s">
        <v>21</v>
      </c>
      <c r="N6" s="1">
        <f t="shared" si="0"/>
        <v>3</v>
      </c>
      <c r="O6" s="1" t="s">
        <v>48</v>
      </c>
      <c r="P6" s="1" t="s">
        <v>23</v>
      </c>
      <c r="Q6" s="1" t="s">
        <v>49</v>
      </c>
      <c r="R6" s="1" t="s">
        <v>43</v>
      </c>
      <c r="S6" s="1" t="s">
        <v>26</v>
      </c>
      <c r="T6" s="1" t="s">
        <v>44</v>
      </c>
      <c r="U6" s="1" t="s">
        <v>28</v>
      </c>
      <c r="V6" s="1" t="s">
        <v>22</v>
      </c>
      <c r="W6" s="1" t="s">
        <v>29</v>
      </c>
      <c r="X6" s="1" t="s">
        <v>30</v>
      </c>
      <c r="Y6" s="1" t="s">
        <v>54</v>
      </c>
      <c r="Z6" s="1" t="s">
        <v>53</v>
      </c>
    </row>
    <row r="7" spans="1:26" x14ac:dyDescent="0.3">
      <c r="A7" s="1" t="s">
        <v>19</v>
      </c>
      <c r="B7" s="17">
        <v>24</v>
      </c>
      <c r="C7" s="17" t="str">
        <f t="shared" si="1"/>
        <v>21-25</v>
      </c>
      <c r="D7" s="1" t="s">
        <v>33</v>
      </c>
      <c r="E7" s="17">
        <v>7</v>
      </c>
      <c r="F7" s="17">
        <v>5</v>
      </c>
      <c r="G7" s="17">
        <v>4</v>
      </c>
      <c r="H7" s="17">
        <v>6</v>
      </c>
      <c r="I7" s="17">
        <v>3</v>
      </c>
      <c r="J7" s="17">
        <v>1</v>
      </c>
      <c r="K7" s="17">
        <v>2</v>
      </c>
      <c r="L7" s="1" t="s">
        <v>33</v>
      </c>
      <c r="M7" s="1" t="s">
        <v>55</v>
      </c>
      <c r="N7" s="1">
        <f t="shared" si="0"/>
        <v>2</v>
      </c>
      <c r="O7" s="1" t="s">
        <v>22</v>
      </c>
      <c r="P7" s="1" t="s">
        <v>23</v>
      </c>
      <c r="Q7" s="1" t="s">
        <v>24</v>
      </c>
      <c r="R7" s="1" t="s">
        <v>43</v>
      </c>
      <c r="S7" s="1" t="s">
        <v>56</v>
      </c>
      <c r="T7" s="1" t="s">
        <v>27</v>
      </c>
      <c r="U7" s="1" t="s">
        <v>28</v>
      </c>
      <c r="V7" s="1" t="s">
        <v>57</v>
      </c>
      <c r="W7" s="1" t="s">
        <v>51</v>
      </c>
      <c r="X7" s="1" t="s">
        <v>30</v>
      </c>
      <c r="Y7" s="1" t="s">
        <v>54</v>
      </c>
      <c r="Z7" s="1" t="s">
        <v>53</v>
      </c>
    </row>
    <row r="8" spans="1:26" x14ac:dyDescent="0.3">
      <c r="A8" s="1" t="s">
        <v>19</v>
      </c>
      <c r="B8" s="17">
        <v>27</v>
      </c>
      <c r="C8" s="17" t="str">
        <f t="shared" si="1"/>
        <v>26-30</v>
      </c>
      <c r="D8" s="1" t="s">
        <v>20</v>
      </c>
      <c r="E8" s="17">
        <v>3</v>
      </c>
      <c r="F8" s="17">
        <v>6</v>
      </c>
      <c r="G8" s="17">
        <v>4</v>
      </c>
      <c r="H8" s="17">
        <v>2</v>
      </c>
      <c r="I8" s="17">
        <v>5</v>
      </c>
      <c r="J8" s="17">
        <v>1</v>
      </c>
      <c r="K8" s="17">
        <v>7</v>
      </c>
      <c r="L8" s="1" t="s">
        <v>20</v>
      </c>
      <c r="M8" s="1" t="s">
        <v>21</v>
      </c>
      <c r="N8" s="1">
        <f t="shared" si="0"/>
        <v>3</v>
      </c>
      <c r="O8" s="1" t="s">
        <v>22</v>
      </c>
      <c r="P8" s="1" t="s">
        <v>23</v>
      </c>
      <c r="Q8" s="1" t="s">
        <v>42</v>
      </c>
      <c r="R8" s="1" t="s">
        <v>25</v>
      </c>
      <c r="S8" s="1" t="s">
        <v>26</v>
      </c>
      <c r="T8" s="1" t="s">
        <v>44</v>
      </c>
      <c r="U8" s="1" t="s">
        <v>28</v>
      </c>
      <c r="V8" s="1" t="s">
        <v>22</v>
      </c>
      <c r="W8" s="1" t="s">
        <v>29</v>
      </c>
      <c r="X8" s="1" t="s">
        <v>46</v>
      </c>
      <c r="Y8" s="1" t="s">
        <v>39</v>
      </c>
      <c r="Z8" s="1" t="s">
        <v>40</v>
      </c>
    </row>
    <row r="9" spans="1:26" x14ac:dyDescent="0.3">
      <c r="A9" s="1" t="s">
        <v>41</v>
      </c>
      <c r="B9" s="17">
        <v>21</v>
      </c>
      <c r="C9" s="17" t="str">
        <f t="shared" si="1"/>
        <v>21-25</v>
      </c>
      <c r="D9" s="1" t="s">
        <v>20</v>
      </c>
      <c r="E9" s="17">
        <v>2</v>
      </c>
      <c r="F9" s="17">
        <v>3</v>
      </c>
      <c r="G9" s="17">
        <v>7</v>
      </c>
      <c r="H9" s="17">
        <v>4</v>
      </c>
      <c r="I9" s="17">
        <v>6</v>
      </c>
      <c r="J9" s="17">
        <v>1</v>
      </c>
      <c r="K9" s="17">
        <v>5</v>
      </c>
      <c r="L9" s="1" t="s">
        <v>20</v>
      </c>
      <c r="M9" s="1" t="s">
        <v>55</v>
      </c>
      <c r="N9" s="1">
        <f t="shared" si="0"/>
        <v>2</v>
      </c>
      <c r="O9" s="1" t="s">
        <v>22</v>
      </c>
      <c r="P9" s="1" t="s">
        <v>23</v>
      </c>
      <c r="Q9" s="1" t="s">
        <v>42</v>
      </c>
      <c r="R9" s="1" t="s">
        <v>25</v>
      </c>
      <c r="S9" s="1" t="s">
        <v>26</v>
      </c>
      <c r="T9" s="1" t="s">
        <v>27</v>
      </c>
      <c r="U9" s="1" t="s">
        <v>28</v>
      </c>
      <c r="V9" s="1" t="s">
        <v>22</v>
      </c>
      <c r="W9" s="1" t="s">
        <v>29</v>
      </c>
      <c r="X9" s="1" t="s">
        <v>46</v>
      </c>
      <c r="Y9" s="1" t="s">
        <v>54</v>
      </c>
      <c r="Z9" s="1" t="s">
        <v>32</v>
      </c>
    </row>
    <row r="10" spans="1:26" x14ac:dyDescent="0.3">
      <c r="A10" s="1" t="s">
        <v>41</v>
      </c>
      <c r="B10" s="17">
        <v>35</v>
      </c>
      <c r="C10" s="17" t="str">
        <f t="shared" si="1"/>
        <v>31-35</v>
      </c>
      <c r="D10" s="1" t="s">
        <v>20</v>
      </c>
      <c r="E10" s="17">
        <v>2</v>
      </c>
      <c r="F10" s="17">
        <v>4</v>
      </c>
      <c r="G10" s="17">
        <v>7</v>
      </c>
      <c r="H10" s="17">
        <v>5</v>
      </c>
      <c r="I10" s="17">
        <v>3</v>
      </c>
      <c r="J10" s="17">
        <v>1</v>
      </c>
      <c r="K10" s="17">
        <v>6</v>
      </c>
      <c r="L10" s="1" t="s">
        <v>20</v>
      </c>
      <c r="M10" s="1" t="s">
        <v>21</v>
      </c>
      <c r="N10" s="1">
        <f t="shared" si="0"/>
        <v>3</v>
      </c>
      <c r="O10" s="1" t="s">
        <v>58</v>
      </c>
      <c r="P10" s="1" t="s">
        <v>59</v>
      </c>
      <c r="Q10" s="1" t="s">
        <v>24</v>
      </c>
      <c r="R10" s="1" t="s">
        <v>36</v>
      </c>
      <c r="S10" s="1" t="s">
        <v>26</v>
      </c>
      <c r="T10" s="1" t="s">
        <v>44</v>
      </c>
      <c r="U10" s="1" t="s">
        <v>28</v>
      </c>
      <c r="V10" s="1" t="s">
        <v>22</v>
      </c>
      <c r="W10" s="1" t="s">
        <v>51</v>
      </c>
      <c r="X10" s="1" t="s">
        <v>30</v>
      </c>
      <c r="Y10" s="1" t="s">
        <v>31</v>
      </c>
      <c r="Z10" s="1" t="s">
        <v>47</v>
      </c>
    </row>
    <row r="11" spans="1:26" x14ac:dyDescent="0.3">
      <c r="A11" s="1" t="s">
        <v>41</v>
      </c>
      <c r="B11" s="17">
        <v>31</v>
      </c>
      <c r="C11" s="17" t="str">
        <f t="shared" si="1"/>
        <v>31-35</v>
      </c>
      <c r="D11" s="1" t="s">
        <v>20</v>
      </c>
      <c r="E11" s="17">
        <v>1</v>
      </c>
      <c r="F11" s="17">
        <v>3</v>
      </c>
      <c r="G11" s="17">
        <v>7</v>
      </c>
      <c r="H11" s="17">
        <v>4</v>
      </c>
      <c r="I11" s="17">
        <v>5</v>
      </c>
      <c r="J11" s="17">
        <v>2</v>
      </c>
      <c r="K11" s="17">
        <v>6</v>
      </c>
      <c r="L11" s="1" t="s">
        <v>20</v>
      </c>
      <c r="M11" s="1" t="s">
        <v>21</v>
      </c>
      <c r="N11" s="1">
        <f t="shared" si="0"/>
        <v>3</v>
      </c>
      <c r="O11" s="1" t="s">
        <v>22</v>
      </c>
      <c r="P11" s="1" t="s">
        <v>23</v>
      </c>
      <c r="Q11" s="1" t="s">
        <v>42</v>
      </c>
      <c r="R11" s="1" t="s">
        <v>25</v>
      </c>
      <c r="S11" s="1" t="s">
        <v>56</v>
      </c>
      <c r="T11" s="1" t="s">
        <v>60</v>
      </c>
      <c r="U11" s="1" t="s">
        <v>28</v>
      </c>
      <c r="V11" s="1" t="s">
        <v>22</v>
      </c>
      <c r="W11" s="1" t="s">
        <v>51</v>
      </c>
      <c r="X11" s="1" t="s">
        <v>46</v>
      </c>
      <c r="Y11" s="1" t="s">
        <v>31</v>
      </c>
      <c r="Z11" s="1" t="s">
        <v>32</v>
      </c>
    </row>
    <row r="12" spans="1:26" x14ac:dyDescent="0.3">
      <c r="A12" s="1" t="s">
        <v>19</v>
      </c>
      <c r="B12" s="17">
        <v>35</v>
      </c>
      <c r="C12" s="17" t="str">
        <f t="shared" si="1"/>
        <v>31-35</v>
      </c>
      <c r="D12" s="1" t="s">
        <v>20</v>
      </c>
      <c r="E12" s="17">
        <v>2</v>
      </c>
      <c r="F12" s="17">
        <v>4</v>
      </c>
      <c r="G12" s="17">
        <v>7</v>
      </c>
      <c r="H12" s="17">
        <v>5</v>
      </c>
      <c r="I12" s="17">
        <v>3</v>
      </c>
      <c r="J12" s="17">
        <v>1</v>
      </c>
      <c r="K12" s="17">
        <v>6</v>
      </c>
      <c r="L12" s="1" t="s">
        <v>20</v>
      </c>
      <c r="M12" s="1" t="s">
        <v>55</v>
      </c>
      <c r="N12" s="1">
        <f t="shared" si="0"/>
        <v>2</v>
      </c>
      <c r="O12" s="1" t="s">
        <v>58</v>
      </c>
      <c r="P12" s="1" t="s">
        <v>59</v>
      </c>
      <c r="Q12" s="1" t="s">
        <v>42</v>
      </c>
      <c r="R12" s="1" t="s">
        <v>25</v>
      </c>
      <c r="S12" s="1" t="s">
        <v>26</v>
      </c>
      <c r="T12" s="1" t="s">
        <v>27</v>
      </c>
      <c r="U12" s="1" t="s">
        <v>28</v>
      </c>
      <c r="V12" s="1" t="s">
        <v>22</v>
      </c>
      <c r="W12" s="1" t="s">
        <v>29</v>
      </c>
      <c r="X12" s="1" t="s">
        <v>46</v>
      </c>
      <c r="Y12" s="1" t="s">
        <v>54</v>
      </c>
      <c r="Z12" s="1" t="s">
        <v>40</v>
      </c>
    </row>
    <row r="13" spans="1:26" x14ac:dyDescent="0.3">
      <c r="A13" s="1" t="s">
        <v>41</v>
      </c>
      <c r="B13" s="17">
        <v>29</v>
      </c>
      <c r="C13" s="17" t="str">
        <f t="shared" si="1"/>
        <v>26-30</v>
      </c>
      <c r="D13" s="1" t="s">
        <v>20</v>
      </c>
      <c r="E13" s="17">
        <v>2</v>
      </c>
      <c r="F13" s="17">
        <v>5</v>
      </c>
      <c r="G13" s="17">
        <v>7</v>
      </c>
      <c r="H13" s="17">
        <v>6</v>
      </c>
      <c r="I13" s="17">
        <v>3</v>
      </c>
      <c r="J13" s="17">
        <v>1</v>
      </c>
      <c r="K13" s="17">
        <v>4</v>
      </c>
      <c r="L13" s="1" t="s">
        <v>20</v>
      </c>
      <c r="M13" s="1" t="s">
        <v>55</v>
      </c>
      <c r="N13" s="1">
        <f t="shared" si="0"/>
        <v>2</v>
      </c>
      <c r="O13" s="1" t="s">
        <v>22</v>
      </c>
      <c r="P13" s="1" t="s">
        <v>23</v>
      </c>
      <c r="Q13" s="1" t="s">
        <v>24</v>
      </c>
      <c r="R13" s="1" t="s">
        <v>25</v>
      </c>
      <c r="S13" s="1" t="s">
        <v>26</v>
      </c>
      <c r="T13" s="1" t="s">
        <v>27</v>
      </c>
      <c r="U13" s="1" t="s">
        <v>28</v>
      </c>
      <c r="V13" s="1" t="s">
        <v>22</v>
      </c>
      <c r="W13" s="1" t="s">
        <v>51</v>
      </c>
      <c r="X13" s="1" t="s">
        <v>46</v>
      </c>
      <c r="Y13" s="1" t="s">
        <v>31</v>
      </c>
      <c r="Z13" s="1" t="s">
        <v>40</v>
      </c>
    </row>
    <row r="14" spans="1:26" x14ac:dyDescent="0.3">
      <c r="A14" s="1" t="s">
        <v>19</v>
      </c>
      <c r="B14" s="17">
        <v>21</v>
      </c>
      <c r="C14" s="17" t="str">
        <f t="shared" si="1"/>
        <v>21-25</v>
      </c>
      <c r="D14" s="1" t="s">
        <v>33</v>
      </c>
      <c r="E14" s="17">
        <v>1</v>
      </c>
      <c r="F14" s="17">
        <v>2</v>
      </c>
      <c r="G14" s="17">
        <v>3</v>
      </c>
      <c r="H14" s="17">
        <v>4</v>
      </c>
      <c r="I14" s="17">
        <v>5</v>
      </c>
      <c r="J14" s="17">
        <v>6</v>
      </c>
      <c r="K14" s="17">
        <v>7</v>
      </c>
      <c r="L14" s="1" t="s">
        <v>33</v>
      </c>
      <c r="M14" s="1" t="s">
        <v>21</v>
      </c>
      <c r="N14" s="1">
        <f t="shared" si="0"/>
        <v>3</v>
      </c>
      <c r="O14" s="1" t="s">
        <v>22</v>
      </c>
      <c r="P14" s="1" t="s">
        <v>59</v>
      </c>
      <c r="Q14" s="1" t="s">
        <v>24</v>
      </c>
      <c r="R14" s="1" t="s">
        <v>36</v>
      </c>
      <c r="S14" s="1" t="s">
        <v>26</v>
      </c>
      <c r="T14" s="1" t="s">
        <v>27</v>
      </c>
      <c r="U14" s="1" t="s">
        <v>61</v>
      </c>
      <c r="V14" s="1" t="s">
        <v>38</v>
      </c>
      <c r="W14" s="1" t="s">
        <v>29</v>
      </c>
      <c r="X14" s="1" t="s">
        <v>30</v>
      </c>
      <c r="Y14" s="1" t="s">
        <v>54</v>
      </c>
      <c r="Z14" s="1" t="s">
        <v>53</v>
      </c>
    </row>
    <row r="15" spans="1:26" x14ac:dyDescent="0.3">
      <c r="A15" s="1" t="s">
        <v>19</v>
      </c>
      <c r="B15" s="17">
        <v>28</v>
      </c>
      <c r="C15" s="17" t="str">
        <f t="shared" si="1"/>
        <v>26-30</v>
      </c>
      <c r="D15" s="1" t="s">
        <v>20</v>
      </c>
      <c r="E15" s="17">
        <v>2</v>
      </c>
      <c r="F15" s="17">
        <v>3</v>
      </c>
      <c r="G15" s="17">
        <v>7</v>
      </c>
      <c r="H15" s="17">
        <v>4</v>
      </c>
      <c r="I15" s="17">
        <v>5</v>
      </c>
      <c r="J15" s="17">
        <v>1</v>
      </c>
      <c r="K15" s="17">
        <v>6</v>
      </c>
      <c r="L15" s="1" t="s">
        <v>20</v>
      </c>
      <c r="M15" s="1" t="s">
        <v>21</v>
      </c>
      <c r="N15" s="1">
        <f t="shared" si="0"/>
        <v>3</v>
      </c>
      <c r="O15" s="1" t="s">
        <v>22</v>
      </c>
      <c r="P15" s="1" t="s">
        <v>23</v>
      </c>
      <c r="Q15" s="1" t="s">
        <v>24</v>
      </c>
      <c r="R15" s="1" t="s">
        <v>25</v>
      </c>
      <c r="S15" s="1" t="s">
        <v>26</v>
      </c>
      <c r="T15" s="1" t="s">
        <v>27</v>
      </c>
      <c r="U15" s="1" t="s">
        <v>28</v>
      </c>
      <c r="V15" s="1" t="s">
        <v>22</v>
      </c>
      <c r="W15" s="1" t="s">
        <v>51</v>
      </c>
      <c r="X15" s="1" t="s">
        <v>46</v>
      </c>
      <c r="Y15" s="1" t="s">
        <v>54</v>
      </c>
      <c r="Z15" s="1" t="s">
        <v>32</v>
      </c>
    </row>
    <row r="16" spans="1:26" x14ac:dyDescent="0.3">
      <c r="A16" s="1" t="s">
        <v>19</v>
      </c>
      <c r="B16" s="17">
        <v>25</v>
      </c>
      <c r="C16" s="17" t="str">
        <f t="shared" si="1"/>
        <v>21-25</v>
      </c>
      <c r="D16" s="1" t="s">
        <v>20</v>
      </c>
      <c r="E16" s="17">
        <v>2</v>
      </c>
      <c r="F16" s="17">
        <v>3</v>
      </c>
      <c r="G16" s="17">
        <v>7</v>
      </c>
      <c r="H16" s="17">
        <v>5</v>
      </c>
      <c r="I16" s="17">
        <v>4</v>
      </c>
      <c r="J16" s="17">
        <v>1</v>
      </c>
      <c r="K16" s="17">
        <v>6</v>
      </c>
      <c r="L16" s="1" t="s">
        <v>20</v>
      </c>
      <c r="M16" s="1" t="s">
        <v>21</v>
      </c>
      <c r="N16" s="1">
        <f t="shared" si="0"/>
        <v>3</v>
      </c>
      <c r="O16" s="1" t="s">
        <v>22</v>
      </c>
      <c r="P16" s="1" t="s">
        <v>23</v>
      </c>
      <c r="Q16" s="1" t="s">
        <v>24</v>
      </c>
      <c r="R16" s="1" t="s">
        <v>25</v>
      </c>
      <c r="S16" s="1" t="s">
        <v>26</v>
      </c>
      <c r="T16" s="1" t="s">
        <v>60</v>
      </c>
      <c r="U16" s="1" t="s">
        <v>37</v>
      </c>
      <c r="V16" s="1" t="s">
        <v>38</v>
      </c>
      <c r="W16" s="1" t="s">
        <v>29</v>
      </c>
      <c r="X16" s="1" t="s">
        <v>46</v>
      </c>
      <c r="Y16" s="1" t="s">
        <v>54</v>
      </c>
      <c r="Z16" s="1" t="s">
        <v>40</v>
      </c>
    </row>
    <row r="17" spans="1:26" x14ac:dyDescent="0.3">
      <c r="A17" s="1" t="s">
        <v>41</v>
      </c>
      <c r="B17" s="17">
        <v>27</v>
      </c>
      <c r="C17" s="17" t="str">
        <f t="shared" si="1"/>
        <v>26-30</v>
      </c>
      <c r="D17" s="1" t="s">
        <v>20</v>
      </c>
      <c r="E17" s="17">
        <v>2</v>
      </c>
      <c r="F17" s="17">
        <v>3</v>
      </c>
      <c r="G17" s="17">
        <v>7</v>
      </c>
      <c r="H17" s="17">
        <v>5</v>
      </c>
      <c r="I17" s="17">
        <v>4</v>
      </c>
      <c r="J17" s="17">
        <v>1</v>
      </c>
      <c r="K17" s="17">
        <v>6</v>
      </c>
      <c r="L17" s="1" t="s">
        <v>20</v>
      </c>
      <c r="M17" s="1" t="s">
        <v>21</v>
      </c>
      <c r="N17" s="1">
        <f t="shared" si="0"/>
        <v>3</v>
      </c>
      <c r="O17" s="1" t="s">
        <v>22</v>
      </c>
      <c r="P17" s="1" t="s">
        <v>23</v>
      </c>
      <c r="Q17" s="1" t="s">
        <v>24</v>
      </c>
      <c r="R17" s="1" t="s">
        <v>25</v>
      </c>
      <c r="S17" s="1" t="s">
        <v>26</v>
      </c>
      <c r="T17" s="1" t="s">
        <v>27</v>
      </c>
      <c r="U17" s="1" t="s">
        <v>37</v>
      </c>
      <c r="V17" s="1" t="s">
        <v>22</v>
      </c>
      <c r="W17" s="1" t="s">
        <v>51</v>
      </c>
      <c r="X17" s="1" t="s">
        <v>46</v>
      </c>
      <c r="Y17" s="1" t="s">
        <v>54</v>
      </c>
      <c r="Z17" s="1" t="s">
        <v>32</v>
      </c>
    </row>
    <row r="18" spans="1:26" x14ac:dyDescent="0.3">
      <c r="A18" s="1" t="s">
        <v>19</v>
      </c>
      <c r="B18" s="17">
        <v>28</v>
      </c>
      <c r="C18" s="17" t="str">
        <f t="shared" si="1"/>
        <v>26-30</v>
      </c>
      <c r="D18" s="1" t="s">
        <v>20</v>
      </c>
      <c r="E18" s="17">
        <v>3</v>
      </c>
      <c r="F18" s="17">
        <v>2</v>
      </c>
      <c r="G18" s="17">
        <v>7</v>
      </c>
      <c r="H18" s="17">
        <v>5</v>
      </c>
      <c r="I18" s="17">
        <v>4</v>
      </c>
      <c r="J18" s="17">
        <v>1</v>
      </c>
      <c r="K18" s="17">
        <v>6</v>
      </c>
      <c r="L18" s="1" t="s">
        <v>20</v>
      </c>
      <c r="M18" s="1" t="s">
        <v>55</v>
      </c>
      <c r="N18" s="1">
        <f t="shared" si="0"/>
        <v>2</v>
      </c>
      <c r="O18" s="1" t="s">
        <v>58</v>
      </c>
      <c r="P18" s="1" t="s">
        <v>23</v>
      </c>
      <c r="Q18" s="1" t="s">
        <v>24</v>
      </c>
      <c r="R18" s="1" t="s">
        <v>25</v>
      </c>
      <c r="S18" s="1" t="s">
        <v>26</v>
      </c>
      <c r="T18" s="1" t="s">
        <v>60</v>
      </c>
      <c r="U18" s="1" t="s">
        <v>37</v>
      </c>
      <c r="V18" s="1" t="s">
        <v>22</v>
      </c>
      <c r="W18" s="1" t="s">
        <v>51</v>
      </c>
      <c r="X18" s="1" t="s">
        <v>46</v>
      </c>
      <c r="Y18" s="1" t="s">
        <v>54</v>
      </c>
      <c r="Z18" s="1" t="s">
        <v>47</v>
      </c>
    </row>
    <row r="19" spans="1:26" x14ac:dyDescent="0.3">
      <c r="A19" s="1" t="s">
        <v>41</v>
      </c>
      <c r="B19" s="17">
        <v>27</v>
      </c>
      <c r="C19" s="17" t="str">
        <f t="shared" si="1"/>
        <v>26-30</v>
      </c>
      <c r="D19" s="1" t="s">
        <v>20</v>
      </c>
      <c r="E19" s="17">
        <v>3</v>
      </c>
      <c r="F19" s="17">
        <v>2</v>
      </c>
      <c r="G19" s="17">
        <v>7</v>
      </c>
      <c r="H19" s="17">
        <v>4</v>
      </c>
      <c r="I19" s="17">
        <v>5</v>
      </c>
      <c r="J19" s="17">
        <v>1</v>
      </c>
      <c r="K19" s="17">
        <v>6</v>
      </c>
      <c r="L19" s="1" t="s">
        <v>20</v>
      </c>
      <c r="M19" s="1" t="s">
        <v>21</v>
      </c>
      <c r="N19" s="1">
        <f t="shared" si="0"/>
        <v>3</v>
      </c>
      <c r="O19" s="1" t="s">
        <v>22</v>
      </c>
      <c r="P19" s="1" t="s">
        <v>23</v>
      </c>
      <c r="Q19" s="1" t="s">
        <v>24</v>
      </c>
      <c r="R19" s="1" t="s">
        <v>25</v>
      </c>
      <c r="S19" s="1" t="s">
        <v>26</v>
      </c>
      <c r="T19" s="1" t="s">
        <v>27</v>
      </c>
      <c r="U19" s="1" t="s">
        <v>28</v>
      </c>
      <c r="V19" s="1" t="s">
        <v>22</v>
      </c>
      <c r="W19" s="1" t="s">
        <v>29</v>
      </c>
      <c r="X19" s="1" t="s">
        <v>46</v>
      </c>
      <c r="Y19" s="1" t="s">
        <v>54</v>
      </c>
      <c r="Z19" s="1" t="s">
        <v>40</v>
      </c>
    </row>
    <row r="20" spans="1:26" x14ac:dyDescent="0.3">
      <c r="A20" s="1" t="s">
        <v>41</v>
      </c>
      <c r="B20" s="17">
        <v>29</v>
      </c>
      <c r="C20" s="17" t="str">
        <f t="shared" si="1"/>
        <v>26-30</v>
      </c>
      <c r="D20" s="1" t="s">
        <v>20</v>
      </c>
      <c r="E20" s="17">
        <v>3</v>
      </c>
      <c r="F20" s="17">
        <v>2</v>
      </c>
      <c r="G20" s="17">
        <v>7</v>
      </c>
      <c r="H20" s="17">
        <v>4</v>
      </c>
      <c r="I20" s="17">
        <v>5</v>
      </c>
      <c r="J20" s="17">
        <v>1</v>
      </c>
      <c r="K20" s="17">
        <v>6</v>
      </c>
      <c r="L20" s="1" t="s">
        <v>20</v>
      </c>
      <c r="M20" s="1" t="s">
        <v>55</v>
      </c>
      <c r="N20" s="1">
        <f t="shared" si="0"/>
        <v>2</v>
      </c>
      <c r="O20" s="1" t="s">
        <v>22</v>
      </c>
      <c r="P20" s="1" t="s">
        <v>23</v>
      </c>
      <c r="Q20" s="1" t="s">
        <v>24</v>
      </c>
      <c r="R20" s="1" t="s">
        <v>25</v>
      </c>
      <c r="S20" s="1" t="s">
        <v>26</v>
      </c>
      <c r="T20" s="1" t="s">
        <v>27</v>
      </c>
      <c r="U20" s="1" t="s">
        <v>28</v>
      </c>
      <c r="V20" s="1" t="s">
        <v>22</v>
      </c>
      <c r="W20" s="1" t="s">
        <v>29</v>
      </c>
      <c r="X20" s="1" t="s">
        <v>46</v>
      </c>
      <c r="Y20" s="1" t="s">
        <v>54</v>
      </c>
      <c r="Z20" s="1" t="s">
        <v>32</v>
      </c>
    </row>
    <row r="21" spans="1:26" x14ac:dyDescent="0.3">
      <c r="A21" s="1" t="s">
        <v>41</v>
      </c>
      <c r="B21" s="17">
        <v>26</v>
      </c>
      <c r="C21" s="17" t="str">
        <f t="shared" si="1"/>
        <v>26-30</v>
      </c>
      <c r="D21" s="1" t="s">
        <v>20</v>
      </c>
      <c r="E21" s="17">
        <v>3</v>
      </c>
      <c r="F21" s="17">
        <v>4</v>
      </c>
      <c r="G21" s="17">
        <v>6</v>
      </c>
      <c r="H21" s="17">
        <v>5</v>
      </c>
      <c r="I21" s="17">
        <v>1</v>
      </c>
      <c r="J21" s="17">
        <v>2</v>
      </c>
      <c r="K21" s="17">
        <v>7</v>
      </c>
      <c r="L21" s="1" t="s">
        <v>20</v>
      </c>
      <c r="M21" s="1" t="s">
        <v>55</v>
      </c>
      <c r="N21" s="1">
        <f t="shared" si="0"/>
        <v>2</v>
      </c>
      <c r="O21" s="1" t="s">
        <v>22</v>
      </c>
      <c r="P21" s="1" t="s">
        <v>23</v>
      </c>
      <c r="Q21" s="1" t="s">
        <v>42</v>
      </c>
      <c r="R21" s="1" t="s">
        <v>25</v>
      </c>
      <c r="S21" s="1" t="s">
        <v>26</v>
      </c>
      <c r="T21" s="1" t="s">
        <v>60</v>
      </c>
      <c r="U21" s="1" t="s">
        <v>37</v>
      </c>
      <c r="V21" s="1" t="s">
        <v>22</v>
      </c>
      <c r="W21" s="1" t="s">
        <v>51</v>
      </c>
      <c r="X21" s="1" t="s">
        <v>46</v>
      </c>
      <c r="Y21" s="1" t="s">
        <v>54</v>
      </c>
      <c r="Z21" s="1" t="s">
        <v>32</v>
      </c>
    </row>
    <row r="22" spans="1:26" x14ac:dyDescent="0.3">
      <c r="A22" s="1" t="s">
        <v>41</v>
      </c>
      <c r="B22" s="17">
        <v>29</v>
      </c>
      <c r="C22" s="17" t="str">
        <f t="shared" si="1"/>
        <v>26-30</v>
      </c>
      <c r="D22" s="1" t="s">
        <v>20</v>
      </c>
      <c r="E22" s="17">
        <v>2</v>
      </c>
      <c r="F22" s="17">
        <v>4</v>
      </c>
      <c r="G22" s="17">
        <v>7</v>
      </c>
      <c r="H22" s="17">
        <v>5</v>
      </c>
      <c r="I22" s="17">
        <v>3</v>
      </c>
      <c r="J22" s="17">
        <v>1</v>
      </c>
      <c r="K22" s="17">
        <v>6</v>
      </c>
      <c r="L22" s="1" t="s">
        <v>20</v>
      </c>
      <c r="M22" s="1" t="s">
        <v>21</v>
      </c>
      <c r="N22" s="1">
        <f t="shared" si="0"/>
        <v>3</v>
      </c>
      <c r="O22" s="1" t="s">
        <v>58</v>
      </c>
      <c r="P22" s="1" t="s">
        <v>23</v>
      </c>
      <c r="Q22" s="1" t="s">
        <v>42</v>
      </c>
      <c r="R22" s="1" t="s">
        <v>36</v>
      </c>
      <c r="S22" s="1" t="s">
        <v>26</v>
      </c>
      <c r="T22" s="1" t="s">
        <v>27</v>
      </c>
      <c r="U22" s="1" t="s">
        <v>28</v>
      </c>
      <c r="V22" s="1" t="s">
        <v>22</v>
      </c>
      <c r="W22" s="1" t="s">
        <v>29</v>
      </c>
      <c r="X22" s="1" t="s">
        <v>46</v>
      </c>
      <c r="Y22" s="1" t="s">
        <v>31</v>
      </c>
      <c r="Z22" s="1" t="s">
        <v>40</v>
      </c>
    </row>
    <row r="23" spans="1:26" x14ac:dyDescent="0.3">
      <c r="A23" s="1" t="s">
        <v>19</v>
      </c>
      <c r="B23" s="17">
        <v>24</v>
      </c>
      <c r="C23" s="17" t="str">
        <f t="shared" si="1"/>
        <v>21-25</v>
      </c>
      <c r="D23" s="1" t="s">
        <v>20</v>
      </c>
      <c r="E23" s="17">
        <v>2</v>
      </c>
      <c r="F23" s="17">
        <v>4</v>
      </c>
      <c r="G23" s="17">
        <v>5</v>
      </c>
      <c r="H23" s="17">
        <v>6</v>
      </c>
      <c r="I23" s="17">
        <v>3</v>
      </c>
      <c r="J23" s="17">
        <v>1</v>
      </c>
      <c r="K23" s="17">
        <v>7</v>
      </c>
      <c r="L23" s="1" t="s">
        <v>20</v>
      </c>
      <c r="M23" s="1" t="s">
        <v>55</v>
      </c>
      <c r="N23" s="1">
        <f t="shared" si="0"/>
        <v>2</v>
      </c>
      <c r="O23" s="1" t="s">
        <v>22</v>
      </c>
      <c r="P23" s="1" t="s">
        <v>23</v>
      </c>
      <c r="Q23" s="1" t="s">
        <v>42</v>
      </c>
      <c r="R23" s="1" t="s">
        <v>25</v>
      </c>
      <c r="S23" s="1" t="s">
        <v>26</v>
      </c>
      <c r="T23" s="1" t="s">
        <v>44</v>
      </c>
      <c r="U23" s="1" t="s">
        <v>37</v>
      </c>
      <c r="V23" s="1" t="s">
        <v>22</v>
      </c>
      <c r="W23" s="1" t="s">
        <v>29</v>
      </c>
      <c r="X23" s="1" t="s">
        <v>46</v>
      </c>
      <c r="Y23" s="1" t="s">
        <v>54</v>
      </c>
      <c r="Z23" s="1" t="s">
        <v>32</v>
      </c>
    </row>
    <row r="24" spans="1:26" x14ac:dyDescent="0.3">
      <c r="A24" s="1" t="s">
        <v>41</v>
      </c>
      <c r="B24" s="17">
        <v>27</v>
      </c>
      <c r="C24" s="17" t="str">
        <f t="shared" si="1"/>
        <v>26-30</v>
      </c>
      <c r="D24" s="1" t="s">
        <v>20</v>
      </c>
      <c r="E24" s="17">
        <v>3</v>
      </c>
      <c r="F24" s="17">
        <v>4</v>
      </c>
      <c r="G24" s="17">
        <v>6</v>
      </c>
      <c r="H24" s="17">
        <v>5</v>
      </c>
      <c r="I24" s="17">
        <v>2</v>
      </c>
      <c r="J24" s="17">
        <v>1</v>
      </c>
      <c r="K24" s="17">
        <v>7</v>
      </c>
      <c r="L24" s="1" t="s">
        <v>20</v>
      </c>
      <c r="M24" s="1" t="s">
        <v>21</v>
      </c>
      <c r="N24" s="1">
        <f t="shared" si="0"/>
        <v>3</v>
      </c>
      <c r="O24" s="1" t="s">
        <v>22</v>
      </c>
      <c r="P24" s="1" t="s">
        <v>23</v>
      </c>
      <c r="Q24" s="1" t="s">
        <v>42</v>
      </c>
      <c r="R24" s="1" t="s">
        <v>25</v>
      </c>
      <c r="S24" s="1" t="s">
        <v>26</v>
      </c>
      <c r="T24" s="1" t="s">
        <v>27</v>
      </c>
      <c r="U24" s="1" t="s">
        <v>28</v>
      </c>
      <c r="V24" s="1" t="s">
        <v>22</v>
      </c>
      <c r="W24" s="1" t="s">
        <v>29</v>
      </c>
      <c r="X24" s="1" t="s">
        <v>46</v>
      </c>
      <c r="Y24" s="1" t="s">
        <v>54</v>
      </c>
      <c r="Z24" s="1" t="s">
        <v>40</v>
      </c>
    </row>
    <row r="25" spans="1:26" x14ac:dyDescent="0.3">
      <c r="A25" s="1" t="s">
        <v>41</v>
      </c>
      <c r="B25" s="17">
        <v>25</v>
      </c>
      <c r="C25" s="17" t="str">
        <f t="shared" si="1"/>
        <v>21-25</v>
      </c>
      <c r="D25" s="1" t="s">
        <v>20</v>
      </c>
      <c r="E25" s="17">
        <v>2</v>
      </c>
      <c r="F25" s="17">
        <v>4</v>
      </c>
      <c r="G25" s="17">
        <v>6</v>
      </c>
      <c r="H25" s="17">
        <v>5</v>
      </c>
      <c r="I25" s="17">
        <v>3</v>
      </c>
      <c r="J25" s="17">
        <v>1</v>
      </c>
      <c r="K25" s="17">
        <v>7</v>
      </c>
      <c r="L25" s="1" t="s">
        <v>20</v>
      </c>
      <c r="M25" s="1" t="s">
        <v>55</v>
      </c>
      <c r="N25" s="1">
        <f t="shared" si="0"/>
        <v>2</v>
      </c>
      <c r="O25" s="1" t="s">
        <v>58</v>
      </c>
      <c r="P25" s="1" t="s">
        <v>59</v>
      </c>
      <c r="Q25" s="1" t="s">
        <v>42</v>
      </c>
      <c r="R25" s="1" t="s">
        <v>36</v>
      </c>
      <c r="S25" s="1" t="s">
        <v>26</v>
      </c>
      <c r="T25" s="1" t="s">
        <v>62</v>
      </c>
      <c r="U25" s="1" t="s">
        <v>37</v>
      </c>
      <c r="V25" s="1" t="s">
        <v>57</v>
      </c>
      <c r="W25" s="1" t="s">
        <v>29</v>
      </c>
      <c r="X25" s="1" t="s">
        <v>46</v>
      </c>
      <c r="Y25" s="1" t="s">
        <v>54</v>
      </c>
      <c r="Z25" s="1" t="s">
        <v>40</v>
      </c>
    </row>
    <row r="26" spans="1:26" x14ac:dyDescent="0.3">
      <c r="A26" s="1" t="s">
        <v>19</v>
      </c>
      <c r="B26" s="17">
        <v>26</v>
      </c>
      <c r="C26" s="17" t="str">
        <f t="shared" si="1"/>
        <v>26-30</v>
      </c>
      <c r="D26" s="1" t="s">
        <v>33</v>
      </c>
      <c r="E26" s="17">
        <v>2</v>
      </c>
      <c r="F26" s="17">
        <v>3</v>
      </c>
      <c r="G26" s="17">
        <v>7</v>
      </c>
      <c r="H26" s="17">
        <v>5</v>
      </c>
      <c r="I26" s="17">
        <v>4</v>
      </c>
      <c r="J26" s="17">
        <v>1</v>
      </c>
      <c r="K26" s="17">
        <v>6</v>
      </c>
      <c r="L26" s="1" t="s">
        <v>20</v>
      </c>
      <c r="M26" s="1" t="s">
        <v>21</v>
      </c>
      <c r="N26" s="1">
        <f t="shared" si="0"/>
        <v>3</v>
      </c>
      <c r="O26" s="1" t="s">
        <v>22</v>
      </c>
      <c r="P26" s="1" t="s">
        <v>23</v>
      </c>
      <c r="Q26" s="1" t="s">
        <v>42</v>
      </c>
      <c r="R26" s="1" t="s">
        <v>25</v>
      </c>
      <c r="S26" s="1" t="s">
        <v>56</v>
      </c>
      <c r="T26" s="1" t="s">
        <v>62</v>
      </c>
      <c r="U26" s="1" t="s">
        <v>28</v>
      </c>
      <c r="V26" s="1" t="s">
        <v>22</v>
      </c>
      <c r="W26" s="1" t="s">
        <v>29</v>
      </c>
      <c r="X26" s="1" t="s">
        <v>46</v>
      </c>
      <c r="Y26" s="1" t="s">
        <v>54</v>
      </c>
      <c r="Z26" s="1" t="s">
        <v>32</v>
      </c>
    </row>
    <row r="27" spans="1:26" x14ac:dyDescent="0.3">
      <c r="A27" s="1" t="s">
        <v>19</v>
      </c>
      <c r="B27" s="17">
        <v>32</v>
      </c>
      <c r="C27" s="17" t="str">
        <f t="shared" si="1"/>
        <v>31-35</v>
      </c>
      <c r="D27" s="1" t="s">
        <v>20</v>
      </c>
      <c r="E27" s="17">
        <v>3</v>
      </c>
      <c r="F27" s="17">
        <v>4</v>
      </c>
      <c r="G27" s="17">
        <v>7</v>
      </c>
      <c r="H27" s="17">
        <v>5</v>
      </c>
      <c r="I27" s="17">
        <v>1</v>
      </c>
      <c r="J27" s="17">
        <v>2</v>
      </c>
      <c r="K27" s="17">
        <v>6</v>
      </c>
      <c r="L27" s="1" t="s">
        <v>20</v>
      </c>
      <c r="M27" s="1" t="s">
        <v>55</v>
      </c>
      <c r="N27" s="1">
        <f t="shared" si="0"/>
        <v>2</v>
      </c>
      <c r="O27" s="1" t="s">
        <v>58</v>
      </c>
      <c r="P27" s="1" t="s">
        <v>23</v>
      </c>
      <c r="Q27" s="1" t="s">
        <v>42</v>
      </c>
      <c r="R27" s="1" t="s">
        <v>25</v>
      </c>
      <c r="S27" s="1" t="s">
        <v>26</v>
      </c>
      <c r="T27" s="1" t="s">
        <v>27</v>
      </c>
      <c r="U27" s="1" t="s">
        <v>28</v>
      </c>
      <c r="V27" s="1" t="s">
        <v>22</v>
      </c>
      <c r="W27" s="1" t="s">
        <v>29</v>
      </c>
      <c r="X27" s="1" t="s">
        <v>46</v>
      </c>
      <c r="Y27" s="1" t="s">
        <v>31</v>
      </c>
      <c r="Z27" s="1" t="s">
        <v>40</v>
      </c>
    </row>
    <row r="28" spans="1:26" x14ac:dyDescent="0.3">
      <c r="A28" s="1" t="s">
        <v>41</v>
      </c>
      <c r="B28" s="17">
        <v>26</v>
      </c>
      <c r="C28" s="17" t="str">
        <f t="shared" si="1"/>
        <v>26-30</v>
      </c>
      <c r="D28" s="1" t="s">
        <v>20</v>
      </c>
      <c r="E28" s="17">
        <v>3</v>
      </c>
      <c r="F28" s="17">
        <v>4</v>
      </c>
      <c r="G28" s="17">
        <v>6</v>
      </c>
      <c r="H28" s="17">
        <v>5</v>
      </c>
      <c r="I28" s="17">
        <v>1</v>
      </c>
      <c r="J28" s="17">
        <v>2</v>
      </c>
      <c r="K28" s="17">
        <v>7</v>
      </c>
      <c r="L28" s="1" t="s">
        <v>20</v>
      </c>
      <c r="M28" s="1" t="s">
        <v>21</v>
      </c>
      <c r="N28" s="1">
        <f t="shared" si="0"/>
        <v>3</v>
      </c>
      <c r="O28" s="1" t="s">
        <v>22</v>
      </c>
      <c r="P28" s="1" t="s">
        <v>23</v>
      </c>
      <c r="Q28" s="1" t="s">
        <v>42</v>
      </c>
      <c r="R28" s="1" t="s">
        <v>25</v>
      </c>
      <c r="S28" s="1" t="s">
        <v>26</v>
      </c>
      <c r="T28" s="1" t="s">
        <v>27</v>
      </c>
      <c r="U28" s="1" t="s">
        <v>28</v>
      </c>
      <c r="V28" s="1" t="s">
        <v>38</v>
      </c>
      <c r="W28" s="1" t="s">
        <v>51</v>
      </c>
      <c r="X28" s="1" t="s">
        <v>46</v>
      </c>
      <c r="Y28" s="1" t="s">
        <v>31</v>
      </c>
      <c r="Z28" s="1" t="s">
        <v>40</v>
      </c>
    </row>
    <row r="29" spans="1:26" x14ac:dyDescent="0.3">
      <c r="A29" s="1" t="s">
        <v>41</v>
      </c>
      <c r="B29" s="17">
        <v>31</v>
      </c>
      <c r="C29" s="17" t="str">
        <f t="shared" si="1"/>
        <v>31-35</v>
      </c>
      <c r="D29" s="1" t="s">
        <v>20</v>
      </c>
      <c r="E29" s="17">
        <v>2</v>
      </c>
      <c r="F29" s="17">
        <v>3</v>
      </c>
      <c r="G29" s="17">
        <v>7</v>
      </c>
      <c r="H29" s="17">
        <v>6</v>
      </c>
      <c r="I29" s="17">
        <v>4</v>
      </c>
      <c r="J29" s="17">
        <v>1</v>
      </c>
      <c r="K29" s="17">
        <v>5</v>
      </c>
      <c r="L29" s="1" t="s">
        <v>20</v>
      </c>
      <c r="M29" s="1" t="s">
        <v>55</v>
      </c>
      <c r="N29" s="1">
        <f t="shared" si="0"/>
        <v>2</v>
      </c>
      <c r="O29" s="1" t="s">
        <v>58</v>
      </c>
      <c r="P29" s="1" t="s">
        <v>59</v>
      </c>
      <c r="Q29" s="1" t="s">
        <v>24</v>
      </c>
      <c r="R29" s="1" t="s">
        <v>25</v>
      </c>
      <c r="S29" s="1" t="s">
        <v>26</v>
      </c>
      <c r="T29" s="1" t="s">
        <v>60</v>
      </c>
      <c r="U29" s="1" t="s">
        <v>37</v>
      </c>
      <c r="V29" s="1" t="s">
        <v>22</v>
      </c>
      <c r="W29" s="1" t="s">
        <v>51</v>
      </c>
      <c r="X29" s="1" t="s">
        <v>30</v>
      </c>
      <c r="Y29" s="1" t="s">
        <v>31</v>
      </c>
      <c r="Z29" s="1" t="s">
        <v>47</v>
      </c>
    </row>
    <row r="30" spans="1:26" x14ac:dyDescent="0.3">
      <c r="A30" s="1" t="s">
        <v>41</v>
      </c>
      <c r="B30" s="17">
        <v>29</v>
      </c>
      <c r="C30" s="17" t="str">
        <f t="shared" si="1"/>
        <v>26-30</v>
      </c>
      <c r="D30" s="1" t="s">
        <v>20</v>
      </c>
      <c r="E30" s="17">
        <v>2</v>
      </c>
      <c r="F30" s="17">
        <v>3</v>
      </c>
      <c r="G30" s="17">
        <v>6</v>
      </c>
      <c r="H30" s="17">
        <v>5</v>
      </c>
      <c r="I30" s="17">
        <v>1</v>
      </c>
      <c r="J30" s="17">
        <v>4</v>
      </c>
      <c r="K30" s="17">
        <v>7</v>
      </c>
      <c r="L30" s="1" t="s">
        <v>20</v>
      </c>
      <c r="M30" s="1" t="s">
        <v>21</v>
      </c>
      <c r="N30" s="1">
        <f t="shared" si="0"/>
        <v>3</v>
      </c>
      <c r="O30" s="1" t="s">
        <v>22</v>
      </c>
      <c r="P30" s="1" t="s">
        <v>23</v>
      </c>
      <c r="Q30" s="1" t="s">
        <v>24</v>
      </c>
      <c r="R30" s="1" t="s">
        <v>25</v>
      </c>
      <c r="S30" s="1" t="s">
        <v>26</v>
      </c>
      <c r="T30" s="1" t="s">
        <v>44</v>
      </c>
      <c r="U30" s="1" t="s">
        <v>28</v>
      </c>
      <c r="V30" s="1" t="s">
        <v>22</v>
      </c>
      <c r="W30" s="1" t="s">
        <v>29</v>
      </c>
      <c r="X30" s="1" t="s">
        <v>46</v>
      </c>
      <c r="Y30" s="1" t="s">
        <v>54</v>
      </c>
      <c r="Z30" s="1" t="s">
        <v>47</v>
      </c>
    </row>
    <row r="31" spans="1:26" x14ac:dyDescent="0.3">
      <c r="A31" s="1" t="s">
        <v>19</v>
      </c>
      <c r="B31" s="17">
        <v>34</v>
      </c>
      <c r="C31" s="17" t="str">
        <f t="shared" si="1"/>
        <v>31-35</v>
      </c>
      <c r="D31" s="1" t="s">
        <v>20</v>
      </c>
      <c r="E31" s="17">
        <v>5</v>
      </c>
      <c r="F31" s="17">
        <v>4</v>
      </c>
      <c r="G31" s="17">
        <v>3</v>
      </c>
      <c r="H31" s="17">
        <v>2</v>
      </c>
      <c r="I31" s="17">
        <v>7</v>
      </c>
      <c r="J31" s="17">
        <v>1</v>
      </c>
      <c r="K31" s="17">
        <v>6</v>
      </c>
      <c r="L31" s="1" t="s">
        <v>20</v>
      </c>
      <c r="M31" s="1" t="s">
        <v>21</v>
      </c>
      <c r="N31" s="1">
        <f t="shared" si="0"/>
        <v>3</v>
      </c>
      <c r="O31" s="1" t="s">
        <v>48</v>
      </c>
      <c r="P31" s="1" t="s">
        <v>21</v>
      </c>
      <c r="Q31" s="1" t="s">
        <v>42</v>
      </c>
      <c r="R31" s="1" t="s">
        <v>25</v>
      </c>
      <c r="S31" s="1" t="s">
        <v>50</v>
      </c>
      <c r="T31" s="1" t="s">
        <v>27</v>
      </c>
      <c r="U31" s="1" t="s">
        <v>28</v>
      </c>
      <c r="V31" s="1" t="s">
        <v>22</v>
      </c>
      <c r="W31" s="1" t="s">
        <v>45</v>
      </c>
      <c r="X31" s="1" t="s">
        <v>30</v>
      </c>
      <c r="Y31" s="1" t="s">
        <v>31</v>
      </c>
      <c r="Z31" s="1" t="s">
        <v>32</v>
      </c>
    </row>
    <row r="32" spans="1:26" x14ac:dyDescent="0.3">
      <c r="A32" s="1" t="s">
        <v>41</v>
      </c>
      <c r="B32" s="17">
        <v>27</v>
      </c>
      <c r="C32" s="17" t="str">
        <f t="shared" si="1"/>
        <v>26-30</v>
      </c>
      <c r="D32" s="1" t="s">
        <v>20</v>
      </c>
      <c r="E32" s="17">
        <v>4</v>
      </c>
      <c r="F32" s="17">
        <v>5</v>
      </c>
      <c r="G32" s="17">
        <v>1</v>
      </c>
      <c r="H32" s="17">
        <v>2</v>
      </c>
      <c r="I32" s="17">
        <v>7</v>
      </c>
      <c r="J32" s="17">
        <v>3</v>
      </c>
      <c r="K32" s="17">
        <v>6</v>
      </c>
      <c r="L32" s="1" t="s">
        <v>33</v>
      </c>
      <c r="M32" s="1" t="s">
        <v>21</v>
      </c>
      <c r="N32" s="1">
        <f t="shared" si="0"/>
        <v>3</v>
      </c>
      <c r="O32" s="1" t="s">
        <v>58</v>
      </c>
      <c r="P32" s="1" t="s">
        <v>23</v>
      </c>
      <c r="Q32" s="1" t="s">
        <v>24</v>
      </c>
      <c r="R32" s="1" t="s">
        <v>25</v>
      </c>
      <c r="S32" s="1" t="s">
        <v>50</v>
      </c>
      <c r="T32" s="1" t="s">
        <v>27</v>
      </c>
      <c r="U32" s="1" t="s">
        <v>61</v>
      </c>
      <c r="V32" s="1" t="s">
        <v>22</v>
      </c>
      <c r="W32" s="1" t="s">
        <v>45</v>
      </c>
      <c r="X32" s="1" t="s">
        <v>30</v>
      </c>
      <c r="Y32" s="1" t="s">
        <v>31</v>
      </c>
      <c r="Z32" s="1" t="s">
        <v>47</v>
      </c>
    </row>
    <row r="33" spans="1:26" x14ac:dyDescent="0.3">
      <c r="A33" s="1" t="s">
        <v>19</v>
      </c>
      <c r="B33" s="17">
        <v>31</v>
      </c>
      <c r="C33" s="17" t="str">
        <f t="shared" si="1"/>
        <v>31-35</v>
      </c>
      <c r="D33" s="1" t="s">
        <v>33</v>
      </c>
      <c r="E33" s="17">
        <v>2</v>
      </c>
      <c r="F33" s="17">
        <v>4</v>
      </c>
      <c r="G33" s="17">
        <v>7</v>
      </c>
      <c r="H33" s="17">
        <v>6</v>
      </c>
      <c r="I33" s="17">
        <v>3</v>
      </c>
      <c r="J33" s="17">
        <v>1</v>
      </c>
      <c r="K33" s="17">
        <v>5</v>
      </c>
      <c r="L33" s="1" t="s">
        <v>20</v>
      </c>
      <c r="M33" s="1" t="s">
        <v>21</v>
      </c>
      <c r="N33" s="1">
        <f t="shared" si="0"/>
        <v>3</v>
      </c>
      <c r="O33" s="1" t="s">
        <v>22</v>
      </c>
      <c r="P33" s="1" t="s">
        <v>23</v>
      </c>
      <c r="Q33" s="1" t="s">
        <v>42</v>
      </c>
      <c r="R33" s="1" t="s">
        <v>25</v>
      </c>
      <c r="S33" s="1" t="s">
        <v>26</v>
      </c>
      <c r="T33" s="1" t="s">
        <v>60</v>
      </c>
      <c r="U33" s="1" t="s">
        <v>28</v>
      </c>
      <c r="V33" s="1" t="s">
        <v>22</v>
      </c>
      <c r="W33" s="1" t="s">
        <v>29</v>
      </c>
      <c r="X33" s="1" t="s">
        <v>46</v>
      </c>
      <c r="Y33" s="1" t="s">
        <v>31</v>
      </c>
      <c r="Z33" s="1" t="s">
        <v>40</v>
      </c>
    </row>
    <row r="34" spans="1:26" x14ac:dyDescent="0.3">
      <c r="A34" s="1" t="s">
        <v>41</v>
      </c>
      <c r="B34" s="17">
        <v>27</v>
      </c>
      <c r="C34" s="17" t="str">
        <f t="shared" si="1"/>
        <v>26-30</v>
      </c>
      <c r="D34" s="1" t="s">
        <v>20</v>
      </c>
      <c r="E34" s="17">
        <v>2</v>
      </c>
      <c r="F34" s="17">
        <v>4</v>
      </c>
      <c r="G34" s="17">
        <v>7</v>
      </c>
      <c r="H34" s="17">
        <v>5</v>
      </c>
      <c r="I34" s="17">
        <v>1</v>
      </c>
      <c r="J34" s="17">
        <v>3</v>
      </c>
      <c r="K34" s="17">
        <v>6</v>
      </c>
      <c r="L34" s="1" t="s">
        <v>20</v>
      </c>
      <c r="M34" s="1" t="s">
        <v>21</v>
      </c>
      <c r="N34" s="1">
        <f t="shared" si="0"/>
        <v>3</v>
      </c>
      <c r="O34" s="1" t="s">
        <v>22</v>
      </c>
      <c r="P34" s="1" t="s">
        <v>23</v>
      </c>
      <c r="Q34" s="1" t="s">
        <v>42</v>
      </c>
      <c r="R34" s="1" t="s">
        <v>25</v>
      </c>
      <c r="S34" s="1" t="s">
        <v>56</v>
      </c>
      <c r="T34" s="1" t="s">
        <v>44</v>
      </c>
      <c r="U34" s="1" t="s">
        <v>37</v>
      </c>
      <c r="V34" s="1" t="s">
        <v>22</v>
      </c>
      <c r="W34" s="1" t="s">
        <v>51</v>
      </c>
      <c r="X34" s="1" t="s">
        <v>46</v>
      </c>
      <c r="Y34" s="1" t="s">
        <v>31</v>
      </c>
      <c r="Z34" s="1" t="s">
        <v>32</v>
      </c>
    </row>
    <row r="35" spans="1:26" x14ac:dyDescent="0.3">
      <c r="A35" s="1" t="s">
        <v>41</v>
      </c>
      <c r="B35" s="17">
        <v>26</v>
      </c>
      <c r="C35" s="17" t="str">
        <f t="shared" si="1"/>
        <v>26-30</v>
      </c>
      <c r="D35" s="1" t="s">
        <v>20</v>
      </c>
      <c r="E35" s="17">
        <v>2</v>
      </c>
      <c r="F35" s="17">
        <v>3</v>
      </c>
      <c r="G35" s="17">
        <v>6</v>
      </c>
      <c r="H35" s="17">
        <v>4</v>
      </c>
      <c r="I35" s="17">
        <v>1</v>
      </c>
      <c r="J35" s="17">
        <v>5</v>
      </c>
      <c r="K35" s="17">
        <v>7</v>
      </c>
      <c r="L35" s="1" t="s">
        <v>20</v>
      </c>
      <c r="M35" s="1" t="s">
        <v>21</v>
      </c>
      <c r="N35" s="1">
        <f t="shared" si="0"/>
        <v>3</v>
      </c>
      <c r="O35" s="1" t="s">
        <v>22</v>
      </c>
      <c r="P35" s="1" t="s">
        <v>21</v>
      </c>
      <c r="Q35" s="1" t="s">
        <v>24</v>
      </c>
      <c r="R35" s="1" t="s">
        <v>25</v>
      </c>
      <c r="S35" s="1" t="s">
        <v>26</v>
      </c>
      <c r="T35" s="1" t="s">
        <v>60</v>
      </c>
      <c r="U35" s="1" t="s">
        <v>61</v>
      </c>
      <c r="V35" s="1" t="s">
        <v>38</v>
      </c>
      <c r="W35" s="1" t="s">
        <v>29</v>
      </c>
      <c r="X35" s="1" t="s">
        <v>30</v>
      </c>
      <c r="Y35" s="1" t="s">
        <v>54</v>
      </c>
      <c r="Z35" s="1" t="s">
        <v>32</v>
      </c>
    </row>
    <row r="36" spans="1:26" x14ac:dyDescent="0.3">
      <c r="A36" s="1" t="s">
        <v>41</v>
      </c>
      <c r="B36" s="17">
        <v>27</v>
      </c>
      <c r="C36" s="17" t="str">
        <f t="shared" si="1"/>
        <v>26-30</v>
      </c>
      <c r="D36" s="1" t="s">
        <v>20</v>
      </c>
      <c r="E36" s="17">
        <v>2</v>
      </c>
      <c r="F36" s="17">
        <v>3</v>
      </c>
      <c r="G36" s="17">
        <v>6</v>
      </c>
      <c r="H36" s="17">
        <v>5</v>
      </c>
      <c r="I36" s="17">
        <v>4</v>
      </c>
      <c r="J36" s="17">
        <v>1</v>
      </c>
      <c r="K36" s="17">
        <v>7</v>
      </c>
      <c r="L36" s="1" t="s">
        <v>20</v>
      </c>
      <c r="M36" s="1" t="s">
        <v>21</v>
      </c>
      <c r="N36" s="1">
        <f t="shared" si="0"/>
        <v>3</v>
      </c>
      <c r="O36" s="1" t="s">
        <v>22</v>
      </c>
      <c r="P36" s="1" t="s">
        <v>23</v>
      </c>
      <c r="Q36" s="1" t="s">
        <v>24</v>
      </c>
      <c r="R36" s="1" t="s">
        <v>36</v>
      </c>
      <c r="S36" s="1" t="s">
        <v>26</v>
      </c>
      <c r="T36" s="1" t="s">
        <v>27</v>
      </c>
      <c r="U36" s="1" t="s">
        <v>37</v>
      </c>
      <c r="V36" s="1" t="s">
        <v>22</v>
      </c>
      <c r="W36" s="1" t="s">
        <v>29</v>
      </c>
      <c r="X36" s="1" t="s">
        <v>30</v>
      </c>
      <c r="Y36" s="1" t="s">
        <v>31</v>
      </c>
      <c r="Z36" s="1" t="s">
        <v>40</v>
      </c>
    </row>
    <row r="37" spans="1:26" x14ac:dyDescent="0.3">
      <c r="A37" s="1" t="s">
        <v>41</v>
      </c>
      <c r="B37" s="17">
        <v>30</v>
      </c>
      <c r="C37" s="17" t="str">
        <f t="shared" si="1"/>
        <v>26-30</v>
      </c>
      <c r="D37" s="1" t="s">
        <v>20</v>
      </c>
      <c r="E37" s="17">
        <v>1</v>
      </c>
      <c r="F37" s="17">
        <v>4</v>
      </c>
      <c r="G37" s="17">
        <v>6</v>
      </c>
      <c r="H37" s="17">
        <v>5</v>
      </c>
      <c r="I37" s="17">
        <v>3</v>
      </c>
      <c r="J37" s="17">
        <v>2</v>
      </c>
      <c r="K37" s="17">
        <v>7</v>
      </c>
      <c r="L37" s="1" t="s">
        <v>20</v>
      </c>
      <c r="M37" s="1" t="s">
        <v>55</v>
      </c>
      <c r="N37" s="1">
        <f t="shared" si="0"/>
        <v>2</v>
      </c>
      <c r="O37" s="1" t="s">
        <v>58</v>
      </c>
      <c r="P37" s="1" t="s">
        <v>23</v>
      </c>
      <c r="Q37" s="1" t="s">
        <v>42</v>
      </c>
      <c r="R37" s="1" t="s">
        <v>25</v>
      </c>
      <c r="S37" s="1" t="s">
        <v>26</v>
      </c>
      <c r="T37" s="1" t="s">
        <v>60</v>
      </c>
      <c r="U37" s="1" t="s">
        <v>37</v>
      </c>
      <c r="V37" s="1" t="s">
        <v>22</v>
      </c>
      <c r="W37" s="1" t="s">
        <v>29</v>
      </c>
      <c r="X37" s="1" t="s">
        <v>46</v>
      </c>
      <c r="Y37" s="1" t="s">
        <v>31</v>
      </c>
      <c r="Z37" s="1" t="s">
        <v>40</v>
      </c>
    </row>
    <row r="38" spans="1:26" x14ac:dyDescent="0.3">
      <c r="A38" s="1" t="s">
        <v>41</v>
      </c>
      <c r="B38" s="17">
        <v>30</v>
      </c>
      <c r="C38" s="17" t="str">
        <f t="shared" si="1"/>
        <v>26-30</v>
      </c>
      <c r="D38" s="1" t="s">
        <v>20</v>
      </c>
      <c r="E38" s="17">
        <v>2</v>
      </c>
      <c r="F38" s="17">
        <v>4</v>
      </c>
      <c r="G38" s="17">
        <v>7</v>
      </c>
      <c r="H38" s="17">
        <v>5</v>
      </c>
      <c r="I38" s="17">
        <v>1</v>
      </c>
      <c r="J38" s="17">
        <v>3</v>
      </c>
      <c r="K38" s="17">
        <v>6</v>
      </c>
      <c r="L38" s="1" t="s">
        <v>20</v>
      </c>
      <c r="M38" s="1" t="s">
        <v>21</v>
      </c>
      <c r="N38" s="1">
        <f t="shared" si="0"/>
        <v>3</v>
      </c>
      <c r="O38" s="1" t="s">
        <v>22</v>
      </c>
      <c r="P38" s="1" t="s">
        <v>23</v>
      </c>
      <c r="Q38" s="1" t="s">
        <v>24</v>
      </c>
      <c r="R38" s="1" t="s">
        <v>25</v>
      </c>
      <c r="S38" s="1" t="s">
        <v>26</v>
      </c>
      <c r="T38" s="1" t="s">
        <v>44</v>
      </c>
      <c r="U38" s="1" t="s">
        <v>28</v>
      </c>
      <c r="V38" s="1" t="s">
        <v>22</v>
      </c>
      <c r="W38" s="1" t="s">
        <v>29</v>
      </c>
      <c r="X38" s="1" t="s">
        <v>46</v>
      </c>
      <c r="Y38" s="1" t="s">
        <v>54</v>
      </c>
      <c r="Z38" s="1" t="s">
        <v>32</v>
      </c>
    </row>
    <row r="39" spans="1:26" x14ac:dyDescent="0.3">
      <c r="A39" s="1" t="s">
        <v>41</v>
      </c>
      <c r="B39" s="17">
        <v>25</v>
      </c>
      <c r="C39" s="17" t="str">
        <f t="shared" si="1"/>
        <v>21-25</v>
      </c>
      <c r="D39" s="1" t="s">
        <v>20</v>
      </c>
      <c r="E39" s="17">
        <v>5</v>
      </c>
      <c r="F39" s="17">
        <v>4</v>
      </c>
      <c r="G39" s="17">
        <v>7</v>
      </c>
      <c r="H39" s="17">
        <v>6</v>
      </c>
      <c r="I39" s="17">
        <v>1</v>
      </c>
      <c r="J39" s="17">
        <v>2</v>
      </c>
      <c r="K39" s="17">
        <v>3</v>
      </c>
      <c r="L39" s="1" t="s">
        <v>20</v>
      </c>
      <c r="M39" s="1" t="s">
        <v>55</v>
      </c>
      <c r="N39" s="1">
        <f t="shared" si="0"/>
        <v>2</v>
      </c>
      <c r="O39" s="1" t="s">
        <v>58</v>
      </c>
      <c r="P39" s="1" t="s">
        <v>59</v>
      </c>
      <c r="Q39" s="1" t="s">
        <v>42</v>
      </c>
      <c r="R39" s="1" t="s">
        <v>25</v>
      </c>
      <c r="S39" s="1" t="s">
        <v>56</v>
      </c>
      <c r="T39" s="1" t="s">
        <v>62</v>
      </c>
      <c r="U39" s="1" t="s">
        <v>37</v>
      </c>
      <c r="V39" s="1" t="s">
        <v>22</v>
      </c>
      <c r="W39" s="1" t="s">
        <v>29</v>
      </c>
      <c r="X39" s="1" t="s">
        <v>30</v>
      </c>
      <c r="Y39" s="1" t="s">
        <v>31</v>
      </c>
      <c r="Z39" s="1" t="s">
        <v>40</v>
      </c>
    </row>
    <row r="40" spans="1:26" x14ac:dyDescent="0.3">
      <c r="A40" s="1" t="s">
        <v>41</v>
      </c>
      <c r="B40" s="17">
        <v>31</v>
      </c>
      <c r="C40" s="17" t="str">
        <f t="shared" si="1"/>
        <v>31-35</v>
      </c>
      <c r="D40" s="1" t="s">
        <v>20</v>
      </c>
      <c r="E40" s="17">
        <v>2</v>
      </c>
      <c r="F40" s="17">
        <v>4</v>
      </c>
      <c r="G40" s="17">
        <v>7</v>
      </c>
      <c r="H40" s="17">
        <v>5</v>
      </c>
      <c r="I40" s="17">
        <v>3</v>
      </c>
      <c r="J40" s="17">
        <v>1</v>
      </c>
      <c r="K40" s="17">
        <v>6</v>
      </c>
      <c r="L40" s="1" t="s">
        <v>20</v>
      </c>
      <c r="M40" s="1" t="s">
        <v>55</v>
      </c>
      <c r="N40" s="1">
        <f t="shared" si="0"/>
        <v>2</v>
      </c>
      <c r="O40" s="1" t="s">
        <v>58</v>
      </c>
      <c r="P40" s="1" t="s">
        <v>23</v>
      </c>
      <c r="Q40" s="1" t="s">
        <v>24</v>
      </c>
      <c r="R40" s="1" t="s">
        <v>36</v>
      </c>
      <c r="S40" s="1" t="s">
        <v>26</v>
      </c>
      <c r="T40" s="1" t="s">
        <v>44</v>
      </c>
      <c r="U40" s="1" t="s">
        <v>37</v>
      </c>
      <c r="V40" s="1" t="s">
        <v>38</v>
      </c>
      <c r="W40" s="1" t="s">
        <v>51</v>
      </c>
      <c r="X40" s="1" t="s">
        <v>46</v>
      </c>
      <c r="Y40" s="1" t="s">
        <v>31</v>
      </c>
      <c r="Z40" s="1" t="s">
        <v>32</v>
      </c>
    </row>
    <row r="41" spans="1:26" x14ac:dyDescent="0.3">
      <c r="A41" s="1" t="s">
        <v>41</v>
      </c>
      <c r="B41" s="17">
        <v>29</v>
      </c>
      <c r="C41" s="17" t="str">
        <f t="shared" si="1"/>
        <v>26-30</v>
      </c>
      <c r="D41" s="1" t="s">
        <v>20</v>
      </c>
      <c r="E41" s="17">
        <v>4</v>
      </c>
      <c r="F41" s="17">
        <v>3</v>
      </c>
      <c r="G41" s="17">
        <v>5</v>
      </c>
      <c r="H41" s="17">
        <v>7</v>
      </c>
      <c r="I41" s="17">
        <v>2</v>
      </c>
      <c r="J41" s="17">
        <v>1</v>
      </c>
      <c r="K41" s="17">
        <v>6</v>
      </c>
      <c r="L41" s="1" t="s">
        <v>20</v>
      </c>
      <c r="M41" s="1" t="s">
        <v>21</v>
      </c>
      <c r="N41" s="1">
        <f t="shared" si="0"/>
        <v>3</v>
      </c>
      <c r="O41" s="1" t="s">
        <v>22</v>
      </c>
      <c r="P41" s="1" t="s">
        <v>23</v>
      </c>
      <c r="Q41" s="1" t="s">
        <v>42</v>
      </c>
      <c r="R41" s="1" t="s">
        <v>25</v>
      </c>
      <c r="S41" s="1" t="s">
        <v>26</v>
      </c>
      <c r="T41" s="1" t="s">
        <v>60</v>
      </c>
      <c r="U41" s="1" t="s">
        <v>28</v>
      </c>
      <c r="V41" s="1" t="s">
        <v>38</v>
      </c>
      <c r="W41" s="1" t="s">
        <v>29</v>
      </c>
      <c r="X41" s="1" t="s">
        <v>30</v>
      </c>
      <c r="Y41" s="1" t="s">
        <v>31</v>
      </c>
      <c r="Z41" s="1" t="s">
        <v>40</v>
      </c>
    </row>
    <row r="44" spans="1:26" x14ac:dyDescent="0.3">
      <c r="E44" s="24">
        <f>AVERAGE(Table1[Mutual_Funds])</f>
        <v>2.5499999999999998</v>
      </c>
      <c r="F44" s="24">
        <f>AVERAGE(Table1[Equity_Market])</f>
        <v>3.4750000000000001</v>
      </c>
      <c r="G44" s="24">
        <f>AVERAGE(Table1[Debentures])</f>
        <v>5.75</v>
      </c>
      <c r="H44" s="24">
        <f>AVERAGE(Table1[Government_Bonds])</f>
        <v>4.6500000000000004</v>
      </c>
      <c r="I44" s="24">
        <f>AVERAGE(Table1[Fixed_
Deposits])</f>
        <v>3.5750000000000002</v>
      </c>
      <c r="J44" s="24">
        <f>AVERAGE(Table1[PPF])</f>
        <v>2.0249999999999999</v>
      </c>
      <c r="K44" s="24">
        <f>AVERAGE(Table1[Gold])</f>
        <v>5.9749999999999996</v>
      </c>
    </row>
  </sheetData>
  <conditionalFormatting sqref="F2:F41">
    <cfRule type="cellIs" dxfId="1" priority="10" operator="greaterThanOrEqual">
      <formula>5</formula>
    </cfRule>
  </conditionalFormatting>
  <conditionalFormatting sqref="I2:I41">
    <cfRule type="cellIs" dxfId="0" priority="9" operator="greaterThanOrEqual">
      <formula>5</formula>
    </cfRule>
  </conditionalFormatting>
  <conditionalFormatting sqref="E2:E41">
    <cfRule type="colorScale" priority="8">
      <colorScale>
        <cfvo type="min"/>
        <cfvo type="percentile" val="50"/>
        <cfvo type="max"/>
        <color rgb="FFF8696B"/>
        <color rgb="FFFFEB84"/>
        <color rgb="FF63BE7B"/>
      </colorScale>
    </cfRule>
  </conditionalFormatting>
  <conditionalFormatting sqref="M2:N41">
    <cfRule type="iconSet" priority="3">
      <iconSet>
        <cfvo type="percent" val="0"/>
        <cfvo type="num" val="$M$3"/>
        <cfvo type="num" val="$M$2"/>
      </iconSet>
    </cfRule>
    <cfRule type="iconSet" priority="4">
      <iconSet>
        <cfvo type="percent" val="0"/>
        <cfvo type="percent" val="&quot;Locking period&quot;"/>
        <cfvo type="formula" val="&quot;Return&quot;"/>
      </iconSet>
    </cfRule>
    <cfRule type="iconSet" priority="6">
      <iconSet iconSet="3Symbols">
        <cfvo type="percent" val="0"/>
        <cfvo type="percent" val="33"/>
        <cfvo type="percent" val="67"/>
      </iconSet>
    </cfRule>
  </conditionalFormatting>
  <dataValidations count="2">
    <dataValidation type="list" allowBlank="1" showInputMessage="1" showErrorMessage="1" sqref="D2:D41" xr:uid="{248BE6EE-5369-474F-A98F-866E6600EA10}">
      <formula1>"Yes, No"</formula1>
    </dataValidation>
    <dataValidation type="list" allowBlank="1" showInputMessage="1" showErrorMessage="1" sqref="A2:A41" xr:uid="{1FDF87E1-3154-40B9-9870-4C515268890B}">
      <formula1>"Male, Female"</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2" id="{E2E60C2A-C747-4367-BDF6-FEE3189B44B6}">
            <x14:iconSet iconSet="3Signs" custom="1">
              <x14:cfvo type="percent">
                <xm:f>0</xm:f>
              </x14:cfvo>
              <x14:cfvo type="formula">
                <xm:f>"Risk"</xm:f>
              </x14:cfvo>
              <x14:cfvo type="formula">
                <xm:f>"Returns"</xm:f>
              </x14:cfvo>
              <x14:cfIcon iconSet="3Signs" iconId="1"/>
              <x14:cfIcon iconSet="3Signs" iconId="0"/>
              <x14:cfIcon iconSet="3TrafficLights1" iconId="2"/>
            </x14:iconSet>
          </x14:cfRule>
          <xm:sqref>M2:N41</xm:sqref>
        </x14:conditionalFormatting>
        <x14:conditionalFormatting xmlns:xm="http://schemas.microsoft.com/office/excel/2006/main">
          <x14:cfRule type="iconSet" priority="1" id="{BB09054C-5B4C-41C2-8453-7AA1B9DB9B77}">
            <x14:iconSet iconSet="3Signs" showValue="0" custom="1">
              <x14:cfvo type="percent">
                <xm:f>0</xm:f>
              </x14:cfvo>
              <x14:cfvo type="formula">
                <xm:f>2</xm:f>
              </x14:cfvo>
              <x14:cfvo type="formula">
                <xm:f>3</xm:f>
              </x14:cfvo>
              <x14:cfIcon iconSet="3Signs" iconId="1"/>
              <x14:cfIcon iconSet="3Signs" iconId="0"/>
              <x14:cfIcon iconSet="3TrafficLights1" iconId="2"/>
            </x14:iconSet>
          </x14:cfRule>
          <xm:sqref>N2:N41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1D93-8FAF-4976-8801-2BDC3F5A6324}">
  <dimension ref="A1:D68"/>
  <sheetViews>
    <sheetView showGridLines="0" zoomScale="115" zoomScaleNormal="115" workbookViewId="0">
      <selection activeCell="B79" sqref="B79"/>
    </sheetView>
  </sheetViews>
  <sheetFormatPr defaultRowHeight="12" customHeight="1" x14ac:dyDescent="0.3"/>
  <cols>
    <col min="1" max="1" width="56.21875" style="4" bestFit="1" customWidth="1"/>
    <col min="2" max="2" width="35.21875" style="16" bestFit="1" customWidth="1"/>
    <col min="3" max="3" width="81" style="8" bestFit="1" customWidth="1"/>
    <col min="4" max="4" width="8.88671875" style="8"/>
    <col min="5" max="16384" width="8.88671875" style="4"/>
  </cols>
  <sheetData>
    <row r="1" spans="1:3" ht="12" customHeight="1" x14ac:dyDescent="0.3">
      <c r="A1" s="5" t="s">
        <v>70</v>
      </c>
      <c r="B1" s="12" t="s">
        <v>83</v>
      </c>
    </row>
    <row r="2" spans="1:3" ht="12" customHeight="1" x14ac:dyDescent="0.3">
      <c r="A2" s="6"/>
      <c r="B2" s="13"/>
    </row>
    <row r="3" spans="1:3" ht="12" customHeight="1" x14ac:dyDescent="0.3">
      <c r="A3" s="6" t="s">
        <v>63</v>
      </c>
      <c r="B3" s="13" t="s">
        <v>100</v>
      </c>
    </row>
    <row r="4" spans="1:3" ht="12" customHeight="1" x14ac:dyDescent="0.3">
      <c r="A4" s="6"/>
      <c r="B4" s="13"/>
    </row>
    <row r="5" spans="1:3" ht="12" customHeight="1" x14ac:dyDescent="0.3">
      <c r="A5" s="6" t="s">
        <v>92</v>
      </c>
      <c r="B5" s="13" t="s">
        <v>100</v>
      </c>
    </row>
    <row r="6" spans="1:3" ht="12" customHeight="1" x14ac:dyDescent="0.3">
      <c r="A6" s="6"/>
      <c r="B6" s="13"/>
    </row>
    <row r="7" spans="1:3" ht="12" customHeight="1" x14ac:dyDescent="0.3">
      <c r="A7" s="6" t="s">
        <v>93</v>
      </c>
      <c r="B7" s="13" t="s">
        <v>100</v>
      </c>
    </row>
    <row r="8" spans="1:3" ht="12" customHeight="1" x14ac:dyDescent="0.3">
      <c r="A8" s="6"/>
      <c r="B8" s="13"/>
    </row>
    <row r="9" spans="1:3" ht="12" customHeight="1" x14ac:dyDescent="0.3">
      <c r="A9" s="6" t="s">
        <v>64</v>
      </c>
      <c r="B9" s="13" t="s">
        <v>100</v>
      </c>
    </row>
    <row r="10" spans="1:3" ht="12" customHeight="1" x14ac:dyDescent="0.3">
      <c r="A10" s="6"/>
      <c r="B10" s="13"/>
    </row>
    <row r="11" spans="1:3" ht="12" customHeight="1" x14ac:dyDescent="0.3">
      <c r="A11" s="5" t="s">
        <v>71</v>
      </c>
      <c r="B11" s="13"/>
    </row>
    <row r="12" spans="1:3" ht="12" customHeight="1" x14ac:dyDescent="0.3">
      <c r="A12" s="7" t="s">
        <v>69</v>
      </c>
      <c r="B12" s="13"/>
    </row>
    <row r="13" spans="1:3" ht="12" customHeight="1" x14ac:dyDescent="0.3">
      <c r="A13" s="6" t="s">
        <v>65</v>
      </c>
      <c r="B13" s="14" t="str">
        <f>COUNTBLANK(Table1[])&amp; ": No blank cells found."</f>
        <v>0: No blank cells found.</v>
      </c>
      <c r="C13" s="9" t="s">
        <v>101</v>
      </c>
    </row>
    <row r="14" spans="1:3" ht="12" customHeight="1" x14ac:dyDescent="0.3">
      <c r="A14" s="6" t="s">
        <v>66</v>
      </c>
      <c r="B14" s="14" t="s">
        <v>104</v>
      </c>
      <c r="C14" s="9" t="s">
        <v>105</v>
      </c>
    </row>
    <row r="15" spans="1:3" ht="12" customHeight="1" x14ac:dyDescent="0.3">
      <c r="A15" s="6"/>
      <c r="B15" s="14"/>
    </row>
    <row r="16" spans="1:3" ht="12" customHeight="1" x14ac:dyDescent="0.3">
      <c r="A16" s="7" t="s">
        <v>67</v>
      </c>
      <c r="B16" s="14"/>
    </row>
    <row r="17" spans="1:3" ht="12" customHeight="1" x14ac:dyDescent="0.3">
      <c r="A17" s="6" t="s">
        <v>94</v>
      </c>
      <c r="B17" s="14" t="s">
        <v>100</v>
      </c>
      <c r="C17" s="9" t="s">
        <v>107</v>
      </c>
    </row>
    <row r="18" spans="1:3" ht="12" customHeight="1" x14ac:dyDescent="0.3">
      <c r="A18" s="6" t="s">
        <v>95</v>
      </c>
      <c r="B18" s="14" t="s">
        <v>100</v>
      </c>
      <c r="C18" s="9" t="s">
        <v>108</v>
      </c>
    </row>
    <row r="19" spans="1:3" ht="12" customHeight="1" x14ac:dyDescent="0.3">
      <c r="B19" s="14"/>
    </row>
    <row r="20" spans="1:3" ht="12" customHeight="1" x14ac:dyDescent="0.3">
      <c r="A20" s="7" t="s">
        <v>68</v>
      </c>
      <c r="B20" s="14"/>
    </row>
    <row r="21" spans="1:3" ht="12" customHeight="1" x14ac:dyDescent="0.3">
      <c r="A21" s="6" t="s">
        <v>86</v>
      </c>
      <c r="B21" s="14" t="s">
        <v>100</v>
      </c>
    </row>
    <row r="22" spans="1:3" ht="12" customHeight="1" x14ac:dyDescent="0.3">
      <c r="A22" s="6"/>
      <c r="B22" s="14"/>
    </row>
    <row r="23" spans="1:3" ht="12" customHeight="1" x14ac:dyDescent="0.3">
      <c r="A23" s="5" t="s">
        <v>72</v>
      </c>
      <c r="B23" s="14"/>
    </row>
    <row r="24" spans="1:3" ht="27.6" x14ac:dyDescent="0.3">
      <c r="A24" s="6" t="s">
        <v>96</v>
      </c>
      <c r="B24" s="19" t="s">
        <v>100</v>
      </c>
      <c r="C24" s="18" t="s">
        <v>110</v>
      </c>
    </row>
    <row r="25" spans="1:3" ht="12" customHeight="1" x14ac:dyDescent="0.3">
      <c r="A25" s="6"/>
      <c r="B25" s="14"/>
    </row>
    <row r="26" spans="1:3" ht="12" customHeight="1" x14ac:dyDescent="0.3">
      <c r="A26" s="5" t="s">
        <v>74</v>
      </c>
      <c r="B26" s="14"/>
    </row>
    <row r="27" spans="1:3" ht="12" customHeight="1" x14ac:dyDescent="0.3">
      <c r="A27" s="6"/>
      <c r="B27" s="14"/>
    </row>
    <row r="28" spans="1:3" ht="12" customHeight="1" x14ac:dyDescent="0.3">
      <c r="A28" s="6" t="s">
        <v>73</v>
      </c>
      <c r="B28" s="14" t="s">
        <v>115</v>
      </c>
      <c r="C28" s="9" t="s">
        <v>112</v>
      </c>
    </row>
    <row r="29" spans="1:3" ht="12" customHeight="1" x14ac:dyDescent="0.3">
      <c r="A29" s="6" t="s">
        <v>111</v>
      </c>
      <c r="B29" s="14" t="s">
        <v>116</v>
      </c>
      <c r="C29" s="9" t="s">
        <v>112</v>
      </c>
    </row>
    <row r="30" spans="1:3" ht="12" customHeight="1" x14ac:dyDescent="0.3">
      <c r="A30" s="6"/>
      <c r="B30" s="14"/>
    </row>
    <row r="31" spans="1:3" ht="12" customHeight="1" x14ac:dyDescent="0.3">
      <c r="A31" s="6" t="s">
        <v>87</v>
      </c>
      <c r="B31" s="14" t="s">
        <v>100</v>
      </c>
    </row>
    <row r="32" spans="1:3" ht="12" customHeight="1" x14ac:dyDescent="0.3">
      <c r="A32" s="6"/>
      <c r="B32" s="14"/>
    </row>
    <row r="33" spans="1:3" ht="41.4" x14ac:dyDescent="0.3">
      <c r="A33" s="6" t="s">
        <v>118</v>
      </c>
      <c r="B33" s="14" t="s">
        <v>100</v>
      </c>
      <c r="C33" s="18" t="s">
        <v>119</v>
      </c>
    </row>
    <row r="34" spans="1:3" ht="12" customHeight="1" x14ac:dyDescent="0.3">
      <c r="A34" s="6"/>
      <c r="B34" s="14"/>
    </row>
    <row r="35" spans="1:3" ht="12" customHeight="1" x14ac:dyDescent="0.3">
      <c r="A35" s="5" t="s">
        <v>75</v>
      </c>
      <c r="B35" s="14"/>
    </row>
    <row r="36" spans="1:3" ht="12" customHeight="1" x14ac:dyDescent="0.3">
      <c r="A36" s="6"/>
      <c r="B36" s="14"/>
    </row>
    <row r="37" spans="1:3" ht="12" customHeight="1" x14ac:dyDescent="0.3">
      <c r="A37" s="7" t="s">
        <v>76</v>
      </c>
      <c r="B37" s="14"/>
    </row>
    <row r="38" spans="1:3" ht="12" customHeight="1" x14ac:dyDescent="0.3">
      <c r="A38" s="6" t="s">
        <v>84</v>
      </c>
      <c r="B38" s="22">
        <f>AVERAGE(Table1[Age])</f>
        <v>27.8</v>
      </c>
    </row>
    <row r="39" spans="1:3" ht="12" customHeight="1" x14ac:dyDescent="0.3">
      <c r="A39" s="6"/>
      <c r="B39" s="22"/>
    </row>
    <row r="40" spans="1:3" ht="12" customHeight="1" x14ac:dyDescent="0.3">
      <c r="A40" s="6" t="s">
        <v>85</v>
      </c>
      <c r="B40" s="22">
        <f>AVERAGE(Table1[Equity_Market])</f>
        <v>3.4750000000000001</v>
      </c>
    </row>
    <row r="41" spans="1:3" ht="12" customHeight="1" x14ac:dyDescent="0.3">
      <c r="A41" s="6"/>
      <c r="B41" s="14"/>
    </row>
    <row r="42" spans="1:3" ht="12" customHeight="1" x14ac:dyDescent="0.3">
      <c r="A42" s="6" t="s">
        <v>77</v>
      </c>
      <c r="B42" s="14"/>
    </row>
    <row r="43" spans="1:3" ht="12" customHeight="1" x14ac:dyDescent="0.3">
      <c r="A43" s="20" t="s">
        <v>41</v>
      </c>
      <c r="B43" s="14">
        <f>COUNTIF(Finance_Analysis!$A$2:$A$41,A43)</f>
        <v>25</v>
      </c>
    </row>
    <row r="44" spans="1:3" ht="12" customHeight="1" x14ac:dyDescent="0.3">
      <c r="A44" s="20" t="s">
        <v>19</v>
      </c>
      <c r="B44" s="14">
        <f>COUNTIF(Finance_Analysis!$A$2:$A$41,A44)</f>
        <v>15</v>
      </c>
    </row>
    <row r="45" spans="1:3" ht="13.2" customHeight="1" x14ac:dyDescent="0.3">
      <c r="A45" s="6"/>
      <c r="B45" s="14"/>
    </row>
    <row r="46" spans="1:3" ht="12" customHeight="1" x14ac:dyDescent="0.3">
      <c r="A46" s="6" t="s">
        <v>88</v>
      </c>
      <c r="B46" s="14">
        <f>MIN(Table1[Mutual_Funds])</f>
        <v>1</v>
      </c>
    </row>
    <row r="47" spans="1:3" ht="12" customHeight="1" x14ac:dyDescent="0.3">
      <c r="A47" s="6"/>
      <c r="B47" s="14"/>
    </row>
    <row r="48" spans="1:3" ht="12" customHeight="1" x14ac:dyDescent="0.3">
      <c r="A48" s="6" t="s">
        <v>89</v>
      </c>
      <c r="B48" s="14">
        <f>MAX(Table1[Fixed_
Deposits])</f>
        <v>7</v>
      </c>
    </row>
    <row r="49" spans="1:3" ht="12" customHeight="1" x14ac:dyDescent="0.3">
      <c r="A49" s="6"/>
      <c r="B49" s="14"/>
    </row>
    <row r="50" spans="1:3" ht="12" customHeight="1" x14ac:dyDescent="0.3">
      <c r="A50" s="6" t="s">
        <v>78</v>
      </c>
      <c r="B50" s="21">
        <f>COUNTIF(Table1[Investment_Avenues],"Yes") / COUNTA(Table1[Investment_Avenues])</f>
        <v>0.875</v>
      </c>
    </row>
    <row r="51" spans="1:3" ht="12" customHeight="1" x14ac:dyDescent="0.3">
      <c r="A51" s="6"/>
      <c r="B51" s="14"/>
    </row>
    <row r="52" spans="1:3" ht="12" customHeight="1" x14ac:dyDescent="0.3">
      <c r="A52" s="6" t="s">
        <v>97</v>
      </c>
      <c r="B52" s="14"/>
    </row>
    <row r="53" spans="1:3" ht="12" customHeight="1" x14ac:dyDescent="0.3">
      <c r="A53" s="6"/>
      <c r="B53" s="14"/>
    </row>
    <row r="54" spans="1:3" ht="12" customHeight="1" x14ac:dyDescent="0.3">
      <c r="A54" s="5" t="s">
        <v>79</v>
      </c>
      <c r="B54" s="23" t="s">
        <v>126</v>
      </c>
    </row>
    <row r="55" spans="1:3" ht="12" customHeight="1" x14ac:dyDescent="0.3">
      <c r="A55" s="6"/>
      <c r="B55" s="14"/>
    </row>
    <row r="56" spans="1:3" ht="12" customHeight="1" x14ac:dyDescent="0.3">
      <c r="A56" s="7" t="s">
        <v>82</v>
      </c>
      <c r="B56" s="14"/>
    </row>
    <row r="57" spans="1:3" ht="12" customHeight="1" x14ac:dyDescent="0.3">
      <c r="A57" s="6"/>
      <c r="B57" s="14"/>
    </row>
    <row r="58" spans="1:3" ht="12" customHeight="1" x14ac:dyDescent="0.3">
      <c r="A58" s="6" t="s">
        <v>90</v>
      </c>
      <c r="B58" s="14" t="s">
        <v>125</v>
      </c>
      <c r="C58" s="9"/>
    </row>
    <row r="59" spans="1:3" ht="12" customHeight="1" x14ac:dyDescent="0.3">
      <c r="A59" s="6"/>
      <c r="B59" s="14"/>
    </row>
    <row r="60" spans="1:3" ht="12" customHeight="1" x14ac:dyDescent="0.3">
      <c r="A60" s="6" t="s">
        <v>98</v>
      </c>
      <c r="B60" s="14" t="s">
        <v>127</v>
      </c>
    </row>
    <row r="61" spans="1:3" ht="12" customHeight="1" x14ac:dyDescent="0.3">
      <c r="A61" s="6"/>
      <c r="B61" s="14"/>
    </row>
    <row r="62" spans="1:3" ht="12" customHeight="1" x14ac:dyDescent="0.3">
      <c r="A62" s="6" t="s">
        <v>80</v>
      </c>
      <c r="B62" s="14" t="s">
        <v>6</v>
      </c>
    </row>
    <row r="63" spans="1:3" ht="12" customHeight="1" x14ac:dyDescent="0.3">
      <c r="A63" s="6"/>
      <c r="B63" s="14"/>
    </row>
    <row r="64" spans="1:3" ht="12" customHeight="1" x14ac:dyDescent="0.3">
      <c r="A64" s="6" t="s">
        <v>99</v>
      </c>
      <c r="B64" s="14" t="s">
        <v>40</v>
      </c>
    </row>
    <row r="65" spans="1:3" ht="12" customHeight="1" x14ac:dyDescent="0.3">
      <c r="A65" s="6"/>
      <c r="B65" s="14"/>
    </row>
    <row r="66" spans="1:3" ht="12" customHeight="1" x14ac:dyDescent="0.3">
      <c r="A66" s="6" t="s">
        <v>81</v>
      </c>
      <c r="B66" s="14" t="s">
        <v>28</v>
      </c>
      <c r="C66" s="9" t="s">
        <v>128</v>
      </c>
    </row>
    <row r="67" spans="1:3" ht="12" customHeight="1" x14ac:dyDescent="0.3">
      <c r="B67" s="14"/>
    </row>
    <row r="68" spans="1:3" ht="12" customHeight="1" x14ac:dyDescent="0.3">
      <c r="A68" s="5"/>
      <c r="B68" s="1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AF7F-EC7C-4E75-B898-E6C5AF6E4B5B}">
  <dimension ref="A1:B7"/>
  <sheetViews>
    <sheetView workbookViewId="0">
      <selection activeCell="A3" sqref="A3"/>
    </sheetView>
  </sheetViews>
  <sheetFormatPr defaultRowHeight="14.4" x14ac:dyDescent="0.3"/>
  <cols>
    <col min="1" max="1" width="12.44140625" bestFit="1" customWidth="1"/>
    <col min="2" max="2" width="16.21875" bestFit="1" customWidth="1"/>
    <col min="3" max="3" width="20.6640625" bestFit="1" customWidth="1"/>
  </cols>
  <sheetData>
    <row r="1" spans="1:2" x14ac:dyDescent="0.3">
      <c r="A1" s="10" t="s">
        <v>9</v>
      </c>
      <c r="B1" t="s">
        <v>23</v>
      </c>
    </row>
    <row r="3" spans="1:2" x14ac:dyDescent="0.3">
      <c r="A3" s="10" t="s">
        <v>102</v>
      </c>
      <c r="B3" t="s">
        <v>124</v>
      </c>
    </row>
    <row r="4" spans="1:2" x14ac:dyDescent="0.3">
      <c r="A4" s="1" t="s">
        <v>121</v>
      </c>
      <c r="B4" s="11">
        <v>7</v>
      </c>
    </row>
    <row r="5" spans="1:2" x14ac:dyDescent="0.3">
      <c r="A5" s="1" t="s">
        <v>122</v>
      </c>
      <c r="B5" s="11">
        <v>20</v>
      </c>
    </row>
    <row r="6" spans="1:2" x14ac:dyDescent="0.3">
      <c r="A6" s="1" t="s">
        <v>123</v>
      </c>
      <c r="B6" s="11">
        <v>5</v>
      </c>
    </row>
    <row r="7" spans="1:2" x14ac:dyDescent="0.3">
      <c r="A7" s="1" t="s">
        <v>103</v>
      </c>
      <c r="B7" s="11">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Finance_Analysis</vt:lpstr>
      <vt:lpstr>Tasks &amp; Answers</vt:lpstr>
      <vt:lpstr>Pivot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pradnya yadav</dc:creator>
  <cp:lastModifiedBy>Ambika goel</cp:lastModifiedBy>
  <dcterms:created xsi:type="dcterms:W3CDTF">2026-01-16T07:04:27Z</dcterms:created>
  <dcterms:modified xsi:type="dcterms:W3CDTF">2026-03-03T13:27:59Z</dcterms:modified>
</cp:coreProperties>
</file>